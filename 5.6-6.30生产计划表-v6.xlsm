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660" windowWidth="34560" windowHeight="19880" tabRatio="932" firstSheet="0" activeTab="2" autoFilterDateGrouping="1"/>
  </bookViews>
  <sheets>
    <sheet name="设置排产" sheetId="1" state="visible" r:id="rId1"/>
    <sheet name="换码设置" sheetId="2" state="visible" r:id="rId2"/>
    <sheet name="AD-5#尿裤" sheetId="3" state="visible" r:id="rId3"/>
    <sheet name="AD-8#尿裤" sheetId="4" state="visible" r:id="rId4"/>
    <sheet name="AD-7#拉拉裤" sheetId="5" state="visible" r:id="rId5"/>
    <sheet name="AD-10#拉拉裤" sheetId="6" state="visible" r:id="rId6"/>
    <sheet name="AD-3#尿片" sheetId="7" state="visible" r:id="rId7"/>
    <sheet name="UP-1#床垫" sheetId="8" state="visible" r:id="rId8"/>
    <sheet name="UP-3#床垫" sheetId="9" state="visible" r:id="rId9"/>
    <sheet name="SN-1" sheetId="10" state="visible" r:id="rId10"/>
    <sheet name="SN-2" sheetId="11" state="visible" r:id="rId11"/>
    <sheet name="BD-2#婴裤" sheetId="12" state="visible" r:id="rId12"/>
    <sheet name="BD-3#拉拉裤" sheetId="13" state="visible" r:id="rId13"/>
    <sheet name="BD-5#拉拉裤" sheetId="14" state="visible" r:id="rId14"/>
    <sheet name="BD-6#拉拉裤 " sheetId="15" state="visible" r:id="rId15"/>
    <sheet name="BD-7#拉拉裤" sheetId="16" state="visible" r:id="rId16"/>
    <sheet name="Sheet1" sheetId="17" state="visible" r:id="rId17"/>
    <sheet name="Sheet2" sheetId="18" state="visible" r:id="rId18"/>
    <sheet name="Sheet3" sheetId="19" state="visible" r:id="rId19"/>
  </sheets>
  <definedNames>
    <definedName name="_xlnm._FilterDatabase" localSheetId="2" hidden="1">'AD-5#尿裤'!$A$5:$BP$49</definedName>
    <definedName name="_xlnm._FilterDatabase" localSheetId="3" hidden="1">'AD-8#尿裤'!$A$5:$BP$35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#,##0_ "/>
    <numFmt numFmtId="165" formatCode="m/d;@"/>
    <numFmt numFmtId="166" formatCode="_ * #,##0_ ;_ * \-#,##0_ ;_ * &quot;-&quot;??_ ;_ @_ "/>
    <numFmt numFmtId="167" formatCode="0_ "/>
    <numFmt numFmtId="168" formatCode="yyyy/m/d;@"/>
  </numFmts>
  <fonts count="21">
    <font>
      <name val="等线"/>
      <charset val="134"/>
      <color theme="1"/>
      <sz val="11"/>
    </font>
    <font>
      <name val="微软雅黑"/>
      <charset val="134"/>
      <family val="2"/>
      <color indexed="8"/>
      <sz val="11"/>
    </font>
    <font>
      <name val="微软雅黑"/>
      <charset val="134"/>
      <family val="2"/>
      <b val="1"/>
      <color indexed="8"/>
      <sz val="20"/>
    </font>
    <font>
      <name val="微软雅黑"/>
      <charset val="134"/>
      <family val="2"/>
      <color indexed="8"/>
      <sz val="9"/>
    </font>
    <font>
      <name val="微软雅黑"/>
      <charset val="134"/>
      <family val="2"/>
      <b val="1"/>
      <color indexed="8"/>
      <sz val="9"/>
    </font>
    <font>
      <name val="微软雅黑"/>
      <charset val="134"/>
      <family val="2"/>
      <b val="1"/>
      <color indexed="9"/>
      <sz val="11"/>
    </font>
    <font>
      <name val="微软雅黑"/>
      <charset val="134"/>
      <family val="2"/>
      <color indexed="9"/>
      <sz val="11"/>
    </font>
    <font>
      <name val="微软雅黑"/>
      <charset val="134"/>
      <family val="2"/>
      <color rgb="FF333333"/>
      <sz val="10"/>
    </font>
    <font>
      <name val="微软雅黑"/>
      <charset val="134"/>
      <family val="2"/>
      <color theme="1"/>
      <sz val="11"/>
    </font>
    <font>
      <name val="微软雅黑"/>
      <charset val="134"/>
      <family val="2"/>
      <sz val="11"/>
    </font>
    <font>
      <name val="微软雅黑"/>
      <charset val="134"/>
      <family val="2"/>
      <color theme="1"/>
      <sz val="12"/>
    </font>
    <font>
      <name val="微软雅黑"/>
      <charset val="134"/>
      <family val="2"/>
      <sz val="12"/>
    </font>
    <font>
      <name val="微软雅黑"/>
      <charset val="134"/>
      <family val="2"/>
      <color rgb="FFFF0000"/>
      <sz val="11"/>
    </font>
    <font>
      <name val="微软雅黑"/>
      <charset val="134"/>
      <family val="2"/>
      <color rgb="FFFF0000"/>
      <sz val="12"/>
    </font>
    <font>
      <name val="宋体"/>
      <charset val="134"/>
      <family val="3"/>
      <color theme="1"/>
      <sz val="11"/>
    </font>
    <font>
      <name val="宋体"/>
      <charset val="134"/>
      <family val="3"/>
      <b val="1"/>
      <color theme="1"/>
      <sz val="11"/>
    </font>
    <font>
      <name val="宋体"/>
      <charset val="134"/>
      <family val="3"/>
      <sz val="12"/>
    </font>
    <font>
      <name val="宋体"/>
      <charset val="134"/>
      <family val="3"/>
      <color indexed="8"/>
      <sz val="11"/>
    </font>
    <font>
      <name val="Arial"/>
      <family val="2"/>
      <b val="1"/>
      <sz val="11"/>
    </font>
    <font>
      <name val="等线"/>
      <charset val="134"/>
      <family val="4"/>
      <sz val="9"/>
    </font>
    <font>
      <name val="等线"/>
      <charset val="134"/>
      <family val="4"/>
      <color theme="1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E1F2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 applyAlignment="1">
      <alignment vertical="center"/>
    </xf>
    <xf numFmtId="0" fontId="16" fillId="0" borderId="0"/>
    <xf numFmtId="0" fontId="17" fillId="0" borderId="0" applyAlignment="1">
      <alignment vertical="center"/>
    </xf>
  </cellStyleXfs>
  <cellXfs count="128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horizontal="center" vertical="center"/>
    </xf>
    <xf numFmtId="0" fontId="0" fillId="2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3" fillId="3" borderId="1" applyAlignment="1" pivotButton="0" quotePrefix="0" xfId="1">
      <alignment horizontal="center" vertical="center"/>
    </xf>
    <xf numFmtId="0" fontId="4" fillId="0" borderId="1" applyAlignment="1" pivotButton="0" quotePrefix="0" xfId="1">
      <alignment horizontal="center" vertical="center"/>
    </xf>
    <xf numFmtId="164" fontId="5" fillId="4" borderId="2" applyAlignment="1" pivotButton="0" quotePrefix="0" xfId="1">
      <alignment horizontal="center" vertical="center"/>
    </xf>
    <xf numFmtId="164" fontId="5" fillId="4" borderId="1" applyAlignment="1" pivotButton="0" quotePrefix="0" xfId="1">
      <alignment horizontal="center" vertical="center"/>
    </xf>
    <xf numFmtId="165" fontId="6" fillId="5" borderId="2" applyAlignment="1" pivotButton="0" quotePrefix="0" xfId="1">
      <alignment horizontal="center" vertical="center"/>
    </xf>
    <xf numFmtId="166" fontId="5" fillId="4" borderId="3" applyAlignment="1" pivotButton="0" quotePrefix="0" xfId="2">
      <alignment vertical="center"/>
    </xf>
    <xf numFmtId="0" fontId="6" fillId="5" borderId="2" applyAlignment="1" pivotButton="0" quotePrefix="0" xfId="1">
      <alignment horizontal="center" vertical="center"/>
    </xf>
    <xf numFmtId="0" fontId="6" fillId="5" borderId="4" applyAlignment="1" pivotButton="0" quotePrefix="0" xfId="1">
      <alignment horizontal="center" vertical="center"/>
    </xf>
    <xf numFmtId="0" fontId="6" fillId="5" borderId="4" applyAlignment="1" pivotButton="0" quotePrefix="0" xfId="1">
      <alignment horizontal="left" vertical="center"/>
    </xf>
    <xf numFmtId="165" fontId="6" fillId="5" borderId="4" applyAlignment="1" pivotButton="0" quotePrefix="0" xfId="1">
      <alignment horizontal="center" vertical="center" shrinkToFit="1"/>
    </xf>
    <xf numFmtId="165" fontId="6" fillId="5" borderId="1" applyAlignment="1" pivotButton="0" quotePrefix="0" xfId="1">
      <alignment horizontal="center" vertical="center" shrinkToFit="1"/>
    </xf>
    <xf numFmtId="0" fontId="6" fillId="5" borderId="1" applyAlignment="1" pivotButton="0" quotePrefix="0" xfId="1">
      <alignment horizontal="center" vertical="center"/>
    </xf>
    <xf numFmtId="0" fontId="6" fillId="5" borderId="6" applyAlignment="1" pivotButton="0" quotePrefix="0" xfId="1">
      <alignment horizontal="center" vertical="center"/>
    </xf>
    <xf numFmtId="0" fontId="6" fillId="5" borderId="7" applyAlignment="1" pivotButton="0" quotePrefix="0" xfId="2">
      <alignment horizontal="center" vertical="center" wrapText="1"/>
    </xf>
    <xf numFmtId="0" fontId="7" fillId="0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49" fontId="8" fillId="2" borderId="1" applyAlignment="1" pivotButton="0" quotePrefix="0" xfId="1">
      <alignment horizontal="center" vertical="center"/>
    </xf>
    <xf numFmtId="0" fontId="8" fillId="2" borderId="1" applyAlignment="1" pivotButton="0" quotePrefix="0" xfId="0">
      <alignment horizontal="left" vertical="center"/>
    </xf>
    <xf numFmtId="165" fontId="9" fillId="2" borderId="1" applyAlignment="1" pivotButton="0" quotePrefix="0" xfId="1">
      <alignment horizontal="center" vertical="center"/>
    </xf>
    <xf numFmtId="165" fontId="8" fillId="2" borderId="1" applyAlignment="1" pivotButton="0" quotePrefix="0" xfId="1">
      <alignment horizontal="center" vertical="center"/>
    </xf>
    <xf numFmtId="0" fontId="0" fillId="2" borderId="1" applyAlignment="1" pivotButton="0" quotePrefix="0" xfId="0">
      <alignment vertical="center"/>
    </xf>
    <xf numFmtId="0" fontId="8" fillId="0" borderId="1" applyAlignment="1" pivotButton="0" quotePrefix="0" xfId="0">
      <alignment horizontal="center" vertical="center"/>
    </xf>
    <xf numFmtId="0" fontId="8" fillId="2" borderId="8" applyAlignment="1" pivotButton="0" quotePrefix="0" xfId="0">
      <alignment horizontal="center" vertical="center"/>
    </xf>
    <xf numFmtId="0" fontId="8" fillId="2" borderId="8" applyAlignment="1" pivotButton="0" quotePrefix="0" xfId="0">
      <alignment horizontal="left" vertical="center"/>
    </xf>
    <xf numFmtId="0" fontId="0" fillId="0" borderId="1" applyAlignment="1" pivotButton="0" quotePrefix="0" xfId="0">
      <alignment vertical="center"/>
    </xf>
    <xf numFmtId="0" fontId="9" fillId="2" borderId="8" applyAlignment="1" pivotButton="0" quotePrefix="0" xfId="1">
      <alignment horizontal="center" vertical="center"/>
    </xf>
    <xf numFmtId="165" fontId="6" fillId="5" borderId="1" applyAlignment="1" pivotButton="0" quotePrefix="0" xfId="1">
      <alignment horizontal="center" vertical="center"/>
    </xf>
    <xf numFmtId="0" fontId="6" fillId="5" borderId="1" applyAlignment="1" pivotButton="0" quotePrefix="0" xfId="2">
      <alignment horizontal="center" vertical="center" wrapText="1"/>
    </xf>
    <xf numFmtId="0" fontId="10" fillId="2" borderId="1" applyAlignment="1" pivotButton="0" quotePrefix="0" xfId="0">
      <alignment horizontal="center" vertical="center"/>
    </xf>
    <xf numFmtId="0" fontId="10" fillId="2" borderId="1" applyAlignment="1" pivotButton="0" quotePrefix="0" xfId="0">
      <alignment horizontal="left" vertical="center"/>
    </xf>
    <xf numFmtId="165" fontId="11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center"/>
    </xf>
    <xf numFmtId="165" fontId="9" fillId="2" borderId="1" applyAlignment="1" pivotButton="0" quotePrefix="0" xfId="0">
      <alignment horizontal="center" vertical="center"/>
    </xf>
    <xf numFmtId="0" fontId="10" fillId="6" borderId="1" applyAlignment="1" pivotButton="0" quotePrefix="0" xfId="0">
      <alignment horizontal="center" vertical="center"/>
    </xf>
    <xf numFmtId="0" fontId="10" fillId="6" borderId="1" applyAlignment="1" pivotButton="0" quotePrefix="0" xfId="0">
      <alignment horizontal="left" vertical="center"/>
    </xf>
    <xf numFmtId="165" fontId="11" fillId="6" borderId="1" applyAlignment="1" pivotButton="0" quotePrefix="0" xfId="0">
      <alignment horizontal="center" vertical="center"/>
    </xf>
    <xf numFmtId="0" fontId="8" fillId="0" borderId="1" applyAlignment="1" pivotButton="0" quotePrefix="0" xfId="0">
      <alignment horizontal="left" vertical="center"/>
    </xf>
    <xf numFmtId="165" fontId="9" fillId="0" borderId="1" applyAlignment="1" pivotButton="0" quotePrefix="0" xfId="0">
      <alignment horizontal="center" vertical="center"/>
    </xf>
    <xf numFmtId="165" fontId="8" fillId="0" borderId="1" applyAlignment="1" pivotButton="0" quotePrefix="0" xfId="1">
      <alignment horizontal="center" vertical="center"/>
    </xf>
    <xf numFmtId="0" fontId="8" fillId="0" borderId="8" applyAlignment="1" pivotButton="0" quotePrefix="0" xfId="0">
      <alignment horizontal="center" vertical="center"/>
    </xf>
    <xf numFmtId="167" fontId="8" fillId="2" borderId="1" applyAlignment="1" pivotButton="0" quotePrefix="0" xfId="1">
      <alignment horizontal="center" vertical="center"/>
    </xf>
    <xf numFmtId="167" fontId="8" fillId="0" borderId="1" applyAlignment="1" pivotButton="0" quotePrefix="0" xfId="1">
      <alignment horizontal="center" vertical="center"/>
    </xf>
    <xf numFmtId="165" fontId="6" fillId="5" borderId="7" applyAlignment="1" pivotButton="0" quotePrefix="0" xfId="1">
      <alignment horizontal="center" vertical="center"/>
    </xf>
    <xf numFmtId="0" fontId="8" fillId="6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 vertical="center"/>
    </xf>
    <xf numFmtId="165" fontId="6" fillId="7" borderId="2" applyAlignment="1" pivotButton="0" quotePrefix="0" xfId="1">
      <alignment horizontal="center" vertical="center"/>
    </xf>
    <xf numFmtId="0" fontId="8" fillId="2" borderId="9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9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 vertical="center"/>
    </xf>
    <xf numFmtId="0" fontId="10" fillId="2" borderId="8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2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0" fontId="9" fillId="0" borderId="1" applyAlignment="1" pivotButton="0" quotePrefix="0" xfId="0">
      <alignment horizontal="left" vertical="center"/>
    </xf>
    <xf numFmtId="0" fontId="9" fillId="0" borderId="1" applyAlignment="1" pivotButton="0" quotePrefix="0" xfId="0">
      <alignment horizontal="center" vertical="center"/>
    </xf>
    <xf numFmtId="0" fontId="9" fillId="0" borderId="8" applyAlignment="1" pivotButton="0" quotePrefix="0" xfId="0">
      <alignment horizontal="center" vertical="center"/>
    </xf>
    <xf numFmtId="0" fontId="11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left" vertical="center"/>
    </xf>
    <xf numFmtId="0" fontId="10" fillId="0" borderId="8" applyAlignment="1" pivotButton="0" quotePrefix="0" xfId="0">
      <alignment horizontal="center" vertical="center"/>
    </xf>
    <xf numFmtId="0" fontId="6" fillId="5" borderId="10" applyAlignment="1" pivotButton="0" quotePrefix="0" xfId="1">
      <alignment horizontal="center" vertical="center"/>
    </xf>
    <xf numFmtId="0" fontId="12" fillId="2" borderId="1" applyAlignment="1" pivotButton="0" quotePrefix="0" xfId="0">
      <alignment horizontal="center" vertical="center"/>
    </xf>
    <xf numFmtId="0" fontId="8" fillId="2" borderId="11" applyAlignment="1" pivotButton="0" quotePrefix="0" xfId="0">
      <alignment horizontal="left" vertical="center"/>
    </xf>
    <xf numFmtId="0" fontId="9" fillId="2" borderId="1" applyAlignment="1" pivotButton="0" quotePrefix="0" xfId="0">
      <alignment horizontal="center" vertical="center"/>
    </xf>
    <xf numFmtId="0" fontId="0" fillId="8" borderId="0" applyAlignment="1" pivotButton="0" quotePrefix="0" xfId="0">
      <alignment vertical="center"/>
    </xf>
    <xf numFmtId="0" fontId="11" fillId="8" borderId="1" applyAlignment="1" pivotButton="0" quotePrefix="0" xfId="0">
      <alignment horizontal="center"/>
    </xf>
    <xf numFmtId="0" fontId="8" fillId="8" borderId="1" applyAlignment="1" pivotButton="0" quotePrefix="0" xfId="0">
      <alignment horizontal="left" vertical="center"/>
    </xf>
    <xf numFmtId="0" fontId="8" fillId="8" borderId="1" applyAlignment="1" pivotButton="0" quotePrefix="0" xfId="0">
      <alignment horizontal="center" vertical="center"/>
    </xf>
    <xf numFmtId="165" fontId="9" fillId="8" borderId="1" applyAlignment="1" pivotButton="0" quotePrefix="0" xfId="0">
      <alignment horizontal="center" vertical="center"/>
    </xf>
    <xf numFmtId="165" fontId="8" fillId="8" borderId="1" applyAlignment="1" pivotButton="0" quotePrefix="0" xfId="1">
      <alignment horizontal="center" vertical="center"/>
    </xf>
    <xf numFmtId="0" fontId="0" fillId="8" borderId="1" applyAlignment="1" pivotButton="0" quotePrefix="0" xfId="0">
      <alignment vertical="center"/>
    </xf>
    <xf numFmtId="0" fontId="8" fillId="8" borderId="8" applyAlignment="1" pivotButton="0" quotePrefix="0" xfId="0">
      <alignment horizontal="center" vertical="center"/>
    </xf>
    <xf numFmtId="49" fontId="8" fillId="8" borderId="1" applyAlignment="1" pivotButton="0" quotePrefix="0" xfId="1">
      <alignment horizontal="center" vertical="center"/>
    </xf>
    <xf numFmtId="165" fontId="9" fillId="8" borderId="1" applyAlignment="1" pivotButton="0" quotePrefix="0" xfId="1">
      <alignment horizontal="center" vertical="center"/>
    </xf>
    <xf numFmtId="0" fontId="13" fillId="2" borderId="1" applyAlignment="1" pivotButton="0" quotePrefix="0" xfId="0">
      <alignment horizontal="center"/>
    </xf>
    <xf numFmtId="0" fontId="11" fillId="2" borderId="1" applyAlignment="1" pivotButton="0" quotePrefix="0" xfId="0">
      <alignment horizontal="left"/>
    </xf>
    <xf numFmtId="0" fontId="8" fillId="2" borderId="1" applyAlignment="1" pivotButton="0" quotePrefix="0" xfId="1">
      <alignment horizontal="center" vertical="center"/>
    </xf>
    <xf numFmtId="0" fontId="1" fillId="0" borderId="0" applyAlignment="1" pivotButton="0" quotePrefix="0" xfId="0">
      <alignment horizontal="left" vertical="center"/>
    </xf>
    <xf numFmtId="0" fontId="8" fillId="0" borderId="1" applyAlignment="1" pivotButton="0" quotePrefix="0" xfId="1">
      <alignment horizontal="center" vertical="center"/>
    </xf>
    <xf numFmtId="168" fontId="14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168" fontId="15" fillId="0" borderId="1" applyAlignment="1" pivotButton="0" quotePrefix="0" xfId="0">
      <alignment horizontal="center" vertical="center"/>
    </xf>
    <xf numFmtId="0" fontId="15" fillId="0" borderId="1" applyAlignment="1" pivotButton="0" quotePrefix="0" xfId="0">
      <alignment horizontal="center" vertical="center"/>
    </xf>
    <xf numFmtId="168" fontId="14" fillId="0" borderId="1" applyAlignment="1" pivotButton="0" quotePrefix="0" xfId="0">
      <alignment horizontal="center" vertical="center"/>
    </xf>
    <xf numFmtId="0" fontId="14" fillId="0" borderId="1" applyAlignment="1" pivotButton="0" quotePrefix="0" xfId="0">
      <alignment horizontal="center" vertical="center"/>
    </xf>
    <xf numFmtId="0" fontId="3" fillId="3" borderId="1" applyAlignment="1" pivotButton="0" quotePrefix="1" xfId="1">
      <alignment horizontal="center" vertical="center"/>
    </xf>
    <xf numFmtId="0" fontId="0" fillId="0" borderId="0" pivotButton="0" quotePrefix="0" xfId="0"/>
    <xf numFmtId="0" fontId="18" fillId="9" borderId="15" applyAlignment="1" pivotButton="0" quotePrefix="0" xfId="0">
      <alignment horizontal="center"/>
    </xf>
    <xf numFmtId="0" fontId="0" fillId="0" borderId="15" pivotButton="0" quotePrefix="0" xfId="0"/>
    <xf numFmtId="0" fontId="0" fillId="0" borderId="15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6" fillId="5" borderId="12" applyAlignment="1" pivotButton="0" quotePrefix="0" xfId="1">
      <alignment horizontal="center" vertical="center" shrinkToFit="1"/>
    </xf>
    <xf numFmtId="0" fontId="0" fillId="0" borderId="5" pivotButton="0" quotePrefix="0" xfId="0"/>
    <xf numFmtId="0" fontId="20" fillId="0" borderId="0" applyAlignment="1" pivotButton="0" quotePrefix="0" xfId="0">
      <alignment vertical="center"/>
    </xf>
    <xf numFmtId="0" fontId="2" fillId="3" borderId="0" applyAlignment="1" pivotButton="0" quotePrefix="0" xfId="1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1" fillId="0" borderId="16" applyAlignment="1" pivotButton="0" quotePrefix="0" xfId="0">
      <alignment horizontal="center" vertical="center"/>
    </xf>
    <xf numFmtId="0" fontId="0" fillId="0" borderId="16" pivotButton="0" quotePrefix="0" xfId="0"/>
    <xf numFmtId="168" fontId="14" fillId="0" borderId="0" applyAlignment="1" pivotButton="0" quotePrefix="0" xfId="0">
      <alignment vertical="center"/>
    </xf>
    <xf numFmtId="168" fontId="15" fillId="0" borderId="1" applyAlignment="1" pivotButton="0" quotePrefix="0" xfId="0">
      <alignment horizontal="center" vertical="center"/>
    </xf>
    <xf numFmtId="168" fontId="14" fillId="0" borderId="1" applyAlignment="1" pivotButton="0" quotePrefix="0" xfId="0">
      <alignment horizontal="center" vertical="center"/>
    </xf>
    <xf numFmtId="164" fontId="5" fillId="4" borderId="2" applyAlignment="1" pivotButton="0" quotePrefix="0" xfId="1">
      <alignment horizontal="center" vertical="center"/>
    </xf>
    <xf numFmtId="164" fontId="5" fillId="4" borderId="1" applyAlignment="1" pivotButton="0" quotePrefix="0" xfId="1">
      <alignment horizontal="center" vertical="center"/>
    </xf>
    <xf numFmtId="165" fontId="6" fillId="5" borderId="2" applyAlignment="1" pivotButton="0" quotePrefix="0" xfId="1">
      <alignment horizontal="center" vertical="center"/>
    </xf>
    <xf numFmtId="166" fontId="5" fillId="4" borderId="3" applyAlignment="1" pivotButton="0" quotePrefix="0" xfId="2">
      <alignment vertical="center"/>
    </xf>
    <xf numFmtId="165" fontId="6" fillId="5" borderId="4" applyAlignment="1" pivotButton="0" quotePrefix="0" xfId="1">
      <alignment horizontal="center" vertical="center" shrinkToFit="1"/>
    </xf>
    <xf numFmtId="165" fontId="6" fillId="5" borderId="1" applyAlignment="1" pivotButton="0" quotePrefix="0" xfId="1">
      <alignment horizontal="center" vertical="center" shrinkToFit="1"/>
    </xf>
    <xf numFmtId="165" fontId="9" fillId="8" borderId="1" applyAlignment="1" pivotButton="0" quotePrefix="0" xfId="0">
      <alignment horizontal="center" vertical="center"/>
    </xf>
    <xf numFmtId="165" fontId="8" fillId="8" borderId="1" applyAlignment="1" pivotButton="0" quotePrefix="0" xfId="1">
      <alignment horizontal="center" vertical="center"/>
    </xf>
    <xf numFmtId="165" fontId="9" fillId="8" borderId="1" applyAlignment="1" pivotButton="0" quotePrefix="0" xfId="1">
      <alignment horizontal="center" vertical="center"/>
    </xf>
    <xf numFmtId="165" fontId="9" fillId="2" borderId="1" applyAlignment="1" pivotButton="0" quotePrefix="0" xfId="0">
      <alignment horizontal="center" vertical="center"/>
    </xf>
    <xf numFmtId="165" fontId="8" fillId="2" borderId="1" applyAlignment="1" pivotButton="0" quotePrefix="0" xfId="1">
      <alignment horizontal="center" vertical="center"/>
    </xf>
    <xf numFmtId="165" fontId="9" fillId="2" borderId="1" applyAlignment="1" pivotButton="0" quotePrefix="0" xfId="1">
      <alignment horizontal="center" vertical="center"/>
    </xf>
    <xf numFmtId="165" fontId="11" fillId="2" borderId="1" applyAlignment="1" pivotButton="0" quotePrefix="0" xfId="0">
      <alignment horizontal="center" vertical="center"/>
    </xf>
    <xf numFmtId="167" fontId="8" fillId="2" borderId="1" applyAlignment="1" pivotButton="0" quotePrefix="0" xfId="1">
      <alignment horizontal="center" vertical="center"/>
    </xf>
    <xf numFmtId="165" fontId="11" fillId="6" borderId="1" applyAlignment="1" pivotButton="0" quotePrefix="0" xfId="0">
      <alignment horizontal="center" vertical="center"/>
    </xf>
    <xf numFmtId="165" fontId="6" fillId="5" borderId="1" applyAlignment="1" pivotButton="0" quotePrefix="0" xfId="1">
      <alignment horizontal="center" vertical="center"/>
    </xf>
    <xf numFmtId="165" fontId="9" fillId="0" borderId="1" applyAlignment="1" pivotButton="0" quotePrefix="0" xfId="0">
      <alignment horizontal="center" vertical="center"/>
    </xf>
    <xf numFmtId="165" fontId="6" fillId="7" borderId="2" applyAlignment="1" pivotButton="0" quotePrefix="0" xfId="1">
      <alignment horizontal="center" vertical="center"/>
    </xf>
    <xf numFmtId="165" fontId="6" fillId="5" borderId="7" applyAlignment="1" pivotButton="0" quotePrefix="0" xfId="1">
      <alignment horizontal="center" vertical="center"/>
    </xf>
    <xf numFmtId="165" fontId="8" fillId="0" borderId="1" applyAlignment="1" pivotButton="0" quotePrefix="0" xfId="1">
      <alignment horizontal="center" vertical="center"/>
    </xf>
    <xf numFmtId="167" fontId="8" fillId="0" borderId="1" applyAlignment="1" pivotButton="0" quotePrefix="0" xfId="1">
      <alignment horizontal="center" vertical="center"/>
    </xf>
  </cellXfs>
  <cellStyles count="3">
    <cellStyle name="常规" xfId="0" builtinId="0"/>
    <cellStyle name="好_奖励补助测算7.25 (version 1) (version 1) 2 2 2 2 2" xfId="1"/>
    <cellStyle name="Accent1 - 40% 2 3 2" xfId="2"/>
  </cellStyles>
  <dxfs count="125">
    <dxf>
      <font>
        <color indexed="13"/>
      </font>
    </dxf>
    <dxf>
      <font>
        <color indexed="50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50"/>
      </font>
    </dxf>
    <dxf>
      <font>
        <color indexed="13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50"/>
      </font>
    </dxf>
    <dxf>
      <font>
        <color indexed="13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ill>
        <patternFill patternType="solid">
          <fgColor theme="4" tint="0.7999511703848384"/>
          <bgColor theme="4" tint="0.7999511703848384"/>
        </patternFill>
      </fill>
      <border>
        <bottom style="thin">
          <color theme="4" tint="0.3999450666829432"/>
        </bottom>
      </border>
    </dxf>
    <dxf>
      <font>
        <b val="1"/>
      </font>
      <fill>
        <patternFill patternType="solid">
          <fgColor theme="4" tint="0.7999511703848384"/>
          <bgColor theme="4" tint="0.7999511703848384"/>
        </patternFill>
      </fill>
      <border>
        <bottom style="thin">
          <color theme="4" tint="0.399945066682943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"/>
          <bgColor theme="4" tint="0.7999511703848384"/>
        </patternFill>
      </fill>
    </dxf>
    <dxf>
      <fill>
        <patternFill patternType="solid">
          <fgColor theme="4" tint="0.7999511703848384"/>
          <bgColor theme="4" tint="0.7999511703848384"/>
        </patternFill>
      </fill>
    </dxf>
    <dxf>
      <font>
        <b val="1"/>
        <color theme="1"/>
      </font>
      <fill>
        <patternFill patternType="solid">
          <fgColor theme="4" tint="0.7999511703848384"/>
          <bgColor theme="4" tint="0.7999511703848384"/>
        </patternFill>
      </fill>
      <border>
        <top style="thin">
          <color theme="4" tint="0.3999450666829432"/>
        </top>
        <bottom style="thin">
          <color theme="4" tint="0.3999450666829432"/>
        </bottom>
      </border>
    </dxf>
    <dxf>
      <font>
        <b val="1"/>
        <color theme="1"/>
      </font>
      <fill>
        <patternFill patternType="solid">
          <fgColor theme="4" tint="0.7999511703848384"/>
          <bgColor theme="4" tint="0.7999511703848384"/>
        </patternFill>
      </fill>
      <border>
        <bottom style="thin">
          <color theme="4" tint="0.3999450666829432"/>
        </bottom>
      </border>
    </dxf>
    <dxf>
      <fill>
        <patternFill patternType="solid">
          <fgColor theme="4" tint="0.7999511703848384"/>
          <bgColor theme="4" tint="0.7999511703848384"/>
        </patternFill>
      </fill>
    </dxf>
    <dxf>
      <fill>
        <patternFill patternType="solid">
          <fgColor theme="4" tint="0.7999511703848384"/>
          <bgColor theme="4" tint="0.799951170384838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"/>
        </horizontal>
      </border>
    </dxf>
  </dxfs>
  <tableStyles count="2" defaultTableStyle="TableStylePreset3_Accent1" defaultPivotStyle="PivotStylePreset2_Accent1">
    <tableStyle name="TableStylePreset3_Accent1" pivot="0" count="7">
      <tableStyleElement type="wholeTable" dxfId="124"/>
      <tableStyleElement type="headerRow" dxfId="123"/>
      <tableStyleElement type="totalRow" dxfId="122"/>
      <tableStyleElement type="firstColumn" dxfId="121"/>
      <tableStyleElement type="lastColumn" dxfId="120"/>
      <tableStyleElement type="firstRowStripe" dxfId="119"/>
      <tableStyleElement type="firstColumnStripe" dxfId="118"/>
    </tableStyle>
    <tableStyle name="PivotStylePreset2_Accent1" table="0" count="10">
      <tableStyleElement type="headerRow" dxfId="117"/>
      <tableStyleElement type="totalRow" dxfId="116"/>
      <tableStyleElement type="firstRowStripe" dxfId="115"/>
      <tableStyleElement type="firstColumnStripe" dxfId="114"/>
      <tableStyleElement type="firstSubtotalRow" dxfId="113"/>
      <tableStyleElement type="secondSubtotalRow" dxfId="112"/>
      <tableStyleElement type="firstRowSubheading" dxfId="111"/>
      <tableStyleElement type="secondRowSubheading" dxfId="110"/>
      <tableStyleElement type="pageFieldLabels" dxfId="109"/>
      <tableStyleElement type="pageFieldValues" dxfId="10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styles" Target="styles.xml" Id="rId20" /><Relationship Type="http://schemas.openxmlformats.org/officeDocument/2006/relationships/theme" Target="theme/theme1.xml" Id="rId21" /><Relationship Type="http://schemas.microsoft.com/office/2006/relationships/vbaProject" Target="vbaProject.bin" Id="rId22" 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19"/>
  <sheetViews>
    <sheetView showGridLines="0" workbookViewId="0">
      <pane ySplit="1" topLeftCell="A2" activePane="bottomLeft" state="frozen"/>
      <selection pane="bottomLeft" activeCell="E17" sqref="E17"/>
    </sheetView>
  </sheetViews>
  <sheetFormatPr baseColWidth="10" defaultColWidth="8.83203125" defaultRowHeight="15"/>
  <cols>
    <col width="13.5" customWidth="1" style="104" min="1" max="1"/>
    <col width="11.1640625" customWidth="1" style="85" min="2" max="2"/>
  </cols>
  <sheetData>
    <row r="1">
      <c r="A1" s="105" t="inlineStr">
        <is>
          <t>节假日设置</t>
        </is>
      </c>
      <c r="B1" s="87" t="inlineStr">
        <is>
          <t>星期几</t>
        </is>
      </c>
    </row>
    <row r="2">
      <c r="A2" s="106" t="n">
        <v>46143</v>
      </c>
      <c r="B2" s="89">
        <f>WEEKDAY(A2,2)</f>
        <v/>
      </c>
    </row>
    <row r="3">
      <c r="A3" s="106" t="n">
        <v>46144</v>
      </c>
      <c r="B3" s="89">
        <f>WEEKDAY(A3,2)</f>
        <v/>
      </c>
    </row>
    <row r="4">
      <c r="A4" s="106" t="n">
        <v>46145</v>
      </c>
      <c r="B4" s="89">
        <f>WEEKDAY(A4,2)</f>
        <v/>
      </c>
    </row>
    <row r="5">
      <c r="A5" s="106" t="n">
        <v>46152</v>
      </c>
      <c r="B5" s="89">
        <f>WEEKDAY(A5,2)</f>
        <v/>
      </c>
    </row>
    <row r="6">
      <c r="A6" s="106" t="n">
        <v>46159</v>
      </c>
      <c r="B6" s="89">
        <f>WEEKDAY(A6,2)</f>
        <v/>
      </c>
    </row>
    <row r="7">
      <c r="A7" s="106" t="n">
        <v>46166</v>
      </c>
      <c r="B7" s="89">
        <f>WEEKDAY(A7,2)</f>
        <v/>
      </c>
    </row>
    <row r="8">
      <c r="A8" s="106" t="n">
        <v>46173</v>
      </c>
      <c r="B8" s="89">
        <f>WEEKDAY(A8,2)</f>
        <v/>
      </c>
    </row>
    <row r="9">
      <c r="A9" s="106" t="n">
        <v>46180</v>
      </c>
      <c r="B9" s="89">
        <f>WEEKDAY(A9,2)</f>
        <v/>
      </c>
    </row>
    <row r="10">
      <c r="A10" s="106" t="n">
        <v>46187</v>
      </c>
      <c r="B10" s="89">
        <f>WEEKDAY(A10,2)</f>
        <v/>
      </c>
    </row>
    <row r="11">
      <c r="A11" s="106" t="n">
        <v>46194</v>
      </c>
      <c r="B11" s="89">
        <f>WEEKDAY(A11,2)</f>
        <v/>
      </c>
    </row>
    <row r="12"/>
    <row r="13"/>
    <row r="14"/>
    <row r="15"/>
    <row r="16"/>
    <row r="17"/>
    <row r="18"/>
    <row r="19"/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19">
    <outlinePr summaryBelow="1" summaryRight="1"/>
    <pageSetUpPr/>
  </sheetPr>
  <dimension ref="A1:C15"/>
  <sheetViews>
    <sheetView workbookViewId="0">
      <selection activeCell="B14" sqref="B14"/>
    </sheetView>
  </sheetViews>
  <sheetFormatPr baseColWidth="10" defaultColWidth="8.83203125" defaultRowHeight="15"/>
  <cols>
    <col width="18" customWidth="1" style="91" min="1" max="3"/>
  </cols>
  <sheetData>
    <row r="1">
      <c r="A1" s="92" t="inlineStr">
        <is>
          <t>产线</t>
        </is>
      </c>
      <c r="B1" s="92" t="inlineStr">
        <is>
          <t>换码损失(双班)</t>
        </is>
      </c>
      <c r="C1" s="92" t="inlineStr">
        <is>
          <t>换码损失(单班)</t>
        </is>
      </c>
    </row>
    <row r="2">
      <c r="A2" s="93" t="inlineStr">
        <is>
          <t>AD-5#尿裤</t>
        </is>
      </c>
      <c r="B2" s="94" t="n">
        <v>8000</v>
      </c>
      <c r="C2" s="94" t="n">
        <v>4000</v>
      </c>
    </row>
    <row r="3">
      <c r="A3" s="93" t="inlineStr">
        <is>
          <t>AD-8#尿裤</t>
        </is>
      </c>
      <c r="B3" s="94" t="n">
        <v>6000</v>
      </c>
      <c r="C3" s="94" t="n">
        <v>3000</v>
      </c>
    </row>
    <row r="4">
      <c r="A4" s="93" t="inlineStr">
        <is>
          <t>AD-7#拉拉裤</t>
        </is>
      </c>
      <c r="B4" s="94" t="n">
        <v>7000</v>
      </c>
      <c r="C4" s="94" t="n">
        <v>3500</v>
      </c>
    </row>
    <row r="5">
      <c r="A5" s="93" t="inlineStr">
        <is>
          <t>AD-10#拉拉裤</t>
        </is>
      </c>
      <c r="B5" s="94" t="n">
        <v>7000</v>
      </c>
      <c r="C5" s="94" t="n">
        <v>3500</v>
      </c>
    </row>
    <row r="6">
      <c r="A6" s="93" t="inlineStr">
        <is>
          <t>AD-3#尿片</t>
        </is>
      </c>
      <c r="B6" s="94" t="n">
        <v>5000</v>
      </c>
      <c r="C6" s="94" t="n">
        <v>2500</v>
      </c>
    </row>
    <row r="7">
      <c r="A7" s="93" t="inlineStr">
        <is>
          <t>UP-1#床垫</t>
        </is>
      </c>
      <c r="B7" s="94" t="n">
        <v>6000</v>
      </c>
      <c r="C7" s="94" t="n">
        <v>3000</v>
      </c>
    </row>
    <row r="8">
      <c r="A8" s="93" t="inlineStr">
        <is>
          <t>UP-3#床垫</t>
        </is>
      </c>
      <c r="B8" s="94" t="n">
        <v>6000</v>
      </c>
      <c r="C8" s="94" t="n">
        <v>3000</v>
      </c>
    </row>
    <row r="9">
      <c r="A9" s="93" t="inlineStr">
        <is>
          <t>SN-1</t>
        </is>
      </c>
      <c r="B9" s="94" t="n">
        <v>4000</v>
      </c>
      <c r="C9" s="94" t="n">
        <v>2000</v>
      </c>
    </row>
    <row r="10">
      <c r="A10" s="93" t="inlineStr">
        <is>
          <t>SN-2</t>
        </is>
      </c>
      <c r="B10" s="94" t="n">
        <v>4000</v>
      </c>
      <c r="C10" s="94" t="n">
        <v>2000</v>
      </c>
    </row>
    <row r="11">
      <c r="A11" s="93" t="inlineStr">
        <is>
          <t>BD-2#婴裤</t>
        </is>
      </c>
      <c r="B11" s="94" t="n">
        <v>7000</v>
      </c>
      <c r="C11" s="94" t="n">
        <v>3500</v>
      </c>
    </row>
    <row r="12">
      <c r="A12" s="93" t="inlineStr">
        <is>
          <t>BD-3#拉拉裤</t>
        </is>
      </c>
      <c r="B12" s="94" t="n">
        <v>7000</v>
      </c>
      <c r="C12" s="94" t="n">
        <v>3500</v>
      </c>
    </row>
    <row r="13">
      <c r="A13" s="93" t="inlineStr">
        <is>
          <t>BD-5#拉拉裤</t>
        </is>
      </c>
      <c r="B13" s="94" t="n">
        <v>7000</v>
      </c>
      <c r="C13" s="94" t="n">
        <v>3500</v>
      </c>
    </row>
    <row r="14">
      <c r="A14" s="93" t="inlineStr">
        <is>
          <t xml:space="preserve">BD-6#拉拉裤 </t>
        </is>
      </c>
      <c r="B14" s="94" t="n">
        <v>7000</v>
      </c>
      <c r="C14" s="94" t="n">
        <v>3500</v>
      </c>
    </row>
    <row r="15">
      <c r="A15" s="93" t="inlineStr">
        <is>
          <t>BD-7#拉拉裤</t>
        </is>
      </c>
      <c r="B15" s="94" t="n">
        <v>7000</v>
      </c>
      <c r="C15" s="94" t="n">
        <v>3500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BQ52"/>
  <sheetViews>
    <sheetView showGridLines="0" tabSelected="1" zoomScale="70" zoomScaleNormal="70" workbookViewId="0">
      <pane xSplit="12" ySplit="5" topLeftCell="M6" activePane="bottomRight" state="frozen"/>
      <selection pane="topRight" activeCell="A1" sqref="A1"/>
      <selection pane="bottomLeft" activeCell="A1" sqref="A1"/>
      <selection pane="bottomRight" activeCell="L2" sqref="L2:L5"/>
    </sheetView>
  </sheetViews>
  <sheetFormatPr baseColWidth="10" defaultColWidth="8.83203125" defaultRowHeight="15"/>
  <cols>
    <col width="13" customWidth="1" style="91" min="1" max="1"/>
    <col width="28.33203125" customWidth="1" style="3" min="2" max="2"/>
    <col hidden="1" width="24.83203125" customWidth="1" style="91" min="3" max="3"/>
    <col width="23.1640625" customWidth="1" style="91" min="4" max="4"/>
    <col width="64.33203125" customWidth="1" style="91" min="5" max="5"/>
    <col width="8.83203125" customWidth="1" style="3" min="8" max="8"/>
    <col width="10.1640625" customWidth="1" style="3" min="9" max="9"/>
    <col width="11.83203125" customWidth="1" style="91" min="10" max="10"/>
    <col width="12.83203125" customWidth="1" style="91" min="11" max="11"/>
    <col width="12.33203125" customWidth="1" style="91" min="12" max="12"/>
    <col width="9" customWidth="1" style="91" min="13" max="68"/>
  </cols>
  <sheetData>
    <row r="1" ht="16.25" customFormat="1" customHeight="1" s="101">
      <c r="A1" s="100" t="inlineStr">
        <is>
          <t>AD-5#尿裤</t>
        </is>
      </c>
      <c r="J1" s="4" t="inlineStr">
        <is>
          <t>单班</t>
        </is>
      </c>
      <c r="K1" s="4" t="n">
        <v>81345</v>
      </c>
      <c r="L1" s="5" t="inlineStr">
        <is>
          <t>未排产计划</t>
        </is>
      </c>
      <c r="M1" s="107" t="n"/>
    </row>
    <row r="2" ht="16.25" customFormat="1" customHeight="1" s="101">
      <c r="J2" s="4" t="inlineStr">
        <is>
          <t>双班</t>
        </is>
      </c>
      <c r="K2" s="4" t="n">
        <v>147900</v>
      </c>
      <c r="L2" s="5" t="inlineStr">
        <is>
          <t>5月排产计划</t>
        </is>
      </c>
      <c r="M2" s="108">
        <f>SUM(M5:AL5)</f>
        <v/>
      </c>
      <c r="N2" s="109" t="inlineStr">
        <is>
          <t>双</t>
        </is>
      </c>
      <c r="O2" s="109" t="inlineStr">
        <is>
          <t>双</t>
        </is>
      </c>
      <c r="P2" s="109" t="inlineStr">
        <is>
          <t>双</t>
        </is>
      </c>
      <c r="Q2" s="109" t="inlineStr">
        <is>
          <t>双</t>
        </is>
      </c>
      <c r="R2" s="109" t="inlineStr"/>
      <c r="S2" s="109" t="inlineStr">
        <is>
          <t>双</t>
        </is>
      </c>
      <c r="T2" s="109" t="inlineStr">
        <is>
          <t>双</t>
        </is>
      </c>
      <c r="U2" s="109" t="inlineStr">
        <is>
          <t>双</t>
        </is>
      </c>
      <c r="V2" s="109" t="inlineStr">
        <is>
          <t>双</t>
        </is>
      </c>
      <c r="W2" s="109" t="inlineStr">
        <is>
          <t>双</t>
        </is>
      </c>
      <c r="X2" s="109" t="inlineStr">
        <is>
          <t>双</t>
        </is>
      </c>
      <c r="Y2" s="109" t="inlineStr"/>
      <c r="Z2" s="109" t="inlineStr">
        <is>
          <t>双</t>
        </is>
      </c>
      <c r="AA2" s="109" t="inlineStr">
        <is>
          <t>双</t>
        </is>
      </c>
      <c r="AB2" s="109" t="inlineStr">
        <is>
          <t>双</t>
        </is>
      </c>
      <c r="AC2" s="109" t="inlineStr">
        <is>
          <t>双</t>
        </is>
      </c>
      <c r="AD2" s="109" t="inlineStr">
        <is>
          <t>双</t>
        </is>
      </c>
      <c r="AE2" s="109" t="inlineStr">
        <is>
          <t>双</t>
        </is>
      </c>
      <c r="AF2" s="109" t="inlineStr"/>
      <c r="AG2" s="109" t="inlineStr">
        <is>
          <t>双</t>
        </is>
      </c>
      <c r="AH2" s="109" t="inlineStr">
        <is>
          <t>双</t>
        </is>
      </c>
      <c r="AI2" s="109" t="inlineStr">
        <is>
          <t>双</t>
        </is>
      </c>
      <c r="AJ2" s="109" t="inlineStr">
        <is>
          <t>双</t>
        </is>
      </c>
      <c r="AK2" s="109" t="inlineStr">
        <is>
          <t>双</t>
        </is>
      </c>
      <c r="AL2" s="109" t="inlineStr">
        <is>
          <t>双</t>
        </is>
      </c>
      <c r="AM2" s="109" t="inlineStr"/>
      <c r="AN2" s="109" t="inlineStr">
        <is>
          <t>双</t>
        </is>
      </c>
      <c r="AO2" s="109" t="inlineStr">
        <is>
          <t>双</t>
        </is>
      </c>
      <c r="AP2" s="109" t="inlineStr">
        <is>
          <t>双</t>
        </is>
      </c>
      <c r="AQ2" s="109" t="inlineStr">
        <is>
          <t>双</t>
        </is>
      </c>
      <c r="AR2" s="109" t="inlineStr">
        <is>
          <t>双</t>
        </is>
      </c>
      <c r="AS2" s="109" t="inlineStr">
        <is>
          <t>双</t>
        </is>
      </c>
      <c r="AT2" s="109" t="inlineStr"/>
      <c r="AU2" s="109" t="inlineStr">
        <is>
          <t>双</t>
        </is>
      </c>
      <c r="AV2" s="109" t="inlineStr">
        <is>
          <t>双</t>
        </is>
      </c>
      <c r="AW2" s="109" t="inlineStr">
        <is>
          <t>双</t>
        </is>
      </c>
      <c r="AX2" s="109" t="inlineStr">
        <is>
          <t>双</t>
        </is>
      </c>
      <c r="AY2" s="109" t="inlineStr">
        <is>
          <t>双</t>
        </is>
      </c>
      <c r="AZ2" s="109" t="inlineStr">
        <is>
          <t>双</t>
        </is>
      </c>
      <c r="BA2" s="109" t="inlineStr"/>
      <c r="BB2" s="109" t="inlineStr">
        <is>
          <t>双</t>
        </is>
      </c>
      <c r="BC2" s="109" t="inlineStr">
        <is>
          <t>双</t>
        </is>
      </c>
      <c r="BD2" s="109" t="inlineStr">
        <is>
          <t>双</t>
        </is>
      </c>
      <c r="BE2" s="109" t="inlineStr">
        <is>
          <t>双</t>
        </is>
      </c>
      <c r="BF2" s="109" t="inlineStr">
        <is>
          <t>双</t>
        </is>
      </c>
      <c r="BG2" s="109" t="inlineStr">
        <is>
          <t>双</t>
        </is>
      </c>
      <c r="BH2" s="109" t="inlineStr"/>
      <c r="BI2" s="109" t="inlineStr">
        <is>
          <t>双</t>
        </is>
      </c>
      <c r="BJ2" s="109" t="inlineStr">
        <is>
          <t>双</t>
        </is>
      </c>
      <c r="BK2" s="109" t="inlineStr">
        <is>
          <t>双</t>
        </is>
      </c>
      <c r="BL2" s="109" t="inlineStr">
        <is>
          <t>双</t>
        </is>
      </c>
      <c r="BM2" s="109" t="inlineStr">
        <is>
          <t>双</t>
        </is>
      </c>
      <c r="BN2" s="109" t="inlineStr">
        <is>
          <t>双</t>
        </is>
      </c>
      <c r="BO2" s="109" t="inlineStr">
        <is>
          <t>双</t>
        </is>
      </c>
      <c r="BP2" s="109" t="inlineStr">
        <is>
          <t>双</t>
        </is>
      </c>
      <c r="BQ2" s="109" t="inlineStr">
        <is>
          <t>双</t>
        </is>
      </c>
    </row>
    <row r="3" ht="17" customFormat="1" customHeight="1" s="101">
      <c r="J3" s="102" t="n"/>
      <c r="K3" s="103" t="n"/>
      <c r="N3" s="0">
        <f>MAX(0,ROWS(UNIQUE(FILTER($F7:$F52,(N7:N52&gt;0)*($F7:$F52&lt;&gt;""))))-1)*IF(N2="双",VLOOKUP($A$1,'换码设置'!$A:$C,2,FALSE),IF(N2="单",VLOOKUP($A$1,'换码设置'!$A:$C,3,FALSE),0))</f>
        <v/>
      </c>
      <c r="O3" s="0">
        <f>MAX(0,ROWS(UNIQUE(FILTER($F7:$F52,(O7:O52&gt;0)*($F7:$F52&lt;&gt;""))))-1)*IF(O2="双",VLOOKUP($A$1,'换码设置'!$A:$C,2,FALSE),IF(O2="单",VLOOKUP($A$1,'换码设置'!$A:$C,3,FALSE),0))</f>
        <v/>
      </c>
      <c r="P3" s="0">
        <f>MAX(0,ROWS(UNIQUE(FILTER($F7:$F52,(P7:P52&gt;0)*($F7:$F52&lt;&gt;""))))-1)*IF(P2="双",VLOOKUP($A$1,'换码设置'!$A:$C,2,FALSE),IF(P2="单",VLOOKUP($A$1,'换码设置'!$A:$C,3,FALSE),0))</f>
        <v/>
      </c>
      <c r="Q3" s="0">
        <f>MAX(0,ROWS(UNIQUE(FILTER($F7:$F52,(Q7:Q52&gt;0)*($F7:$F52&lt;&gt;""))))-1)*IF(Q2="双",VLOOKUP($A$1,'换码设置'!$A:$C,2,FALSE),IF(Q2="单",VLOOKUP($A$1,'换码设置'!$A:$C,3,FALSE),0))</f>
        <v/>
      </c>
      <c r="R3" s="0">
        <f>MAX(0,ROWS(UNIQUE(FILTER($F7:$F52,(R7:R52&gt;0)*($F7:$F52&lt;&gt;""))))-1)*IF(R2="双",VLOOKUP($A$1,'换码设置'!$A:$C,2,FALSE),IF(R2="单",VLOOKUP($A$1,'换码设置'!$A:$C,3,FALSE),0))</f>
        <v/>
      </c>
      <c r="S3" s="0">
        <f>MAX(0,ROWS(UNIQUE(FILTER($F7:$F52,(S7:S52&gt;0)*($F7:$F52&lt;&gt;""))))-1)*IF(S2="双",VLOOKUP($A$1,'换码设置'!$A:$C,2,FALSE),IF(S2="单",VLOOKUP($A$1,'换码设置'!$A:$C,3,FALSE),0))</f>
        <v/>
      </c>
      <c r="T3" s="0">
        <f>MAX(0,ROWS(UNIQUE(FILTER($F7:$F52,(T7:T52&gt;0)*($F7:$F52&lt;&gt;""))))-1)*IF(T2="双",VLOOKUP($A$1,'换码设置'!$A:$C,2,FALSE),IF(T2="单",VLOOKUP($A$1,'换码设置'!$A:$C,3,FALSE),0))</f>
        <v/>
      </c>
      <c r="U3" s="0">
        <f>MAX(0,ROWS(UNIQUE(FILTER($F7:$F52,(U7:U52&gt;0)*($F7:$F52&lt;&gt;""))))-1)*IF(U2="双",VLOOKUP($A$1,'换码设置'!$A:$C,2,FALSE),IF(U2="单",VLOOKUP($A$1,'换码设置'!$A:$C,3,FALSE),0))</f>
        <v/>
      </c>
      <c r="V3" s="0">
        <f>MAX(0,ROWS(UNIQUE(FILTER($F7:$F52,(V7:V52&gt;0)*($F7:$F52&lt;&gt;""))))-1)*IF(V2="双",VLOOKUP($A$1,'换码设置'!$A:$C,2,FALSE),IF(V2="单",VLOOKUP($A$1,'换码设置'!$A:$C,3,FALSE),0))</f>
        <v/>
      </c>
      <c r="W3" s="0">
        <f>MAX(0,ROWS(UNIQUE(FILTER($F7:$F52,(W7:W52&gt;0)*($F7:$F52&lt;&gt;""))))-1)*IF(W2="双",VLOOKUP($A$1,'换码设置'!$A:$C,2,FALSE),IF(W2="单",VLOOKUP($A$1,'换码设置'!$A:$C,3,FALSE),0))</f>
        <v/>
      </c>
      <c r="X3" s="0">
        <f>MAX(0,ROWS(UNIQUE(FILTER($F7:$F52,(X7:X52&gt;0)*($F7:$F52&lt;&gt;""))))-1)*IF(X2="双",VLOOKUP($A$1,'换码设置'!$A:$C,2,FALSE),IF(X2="单",VLOOKUP($A$1,'换码设置'!$A:$C,3,FALSE),0))</f>
        <v/>
      </c>
      <c r="Y3" s="0">
        <f>MAX(0,ROWS(UNIQUE(FILTER($F7:$F52,(Y7:Y52&gt;0)*($F7:$F52&lt;&gt;""))))-1)*IF(Y2="双",VLOOKUP($A$1,'换码设置'!$A:$C,2,FALSE),IF(Y2="单",VLOOKUP($A$1,'换码设置'!$A:$C,3,FALSE),0))</f>
        <v/>
      </c>
      <c r="Z3" s="0">
        <f>MAX(0,ROWS(UNIQUE(FILTER($F7:$F52,(Z7:Z52&gt;0)*($F7:$F52&lt;&gt;""))))-1)*IF(Z2="双",VLOOKUP($A$1,'换码设置'!$A:$C,2,FALSE),IF(Z2="单",VLOOKUP($A$1,'换码设置'!$A:$C,3,FALSE),0))</f>
        <v/>
      </c>
      <c r="AA3" s="0">
        <f>MAX(0,ROWS(UNIQUE(FILTER($F7:$F52,(AA7:AA52&gt;0)*($F7:$F52&lt;&gt;""))))-1)*IF(AA2="双",VLOOKUP($A$1,'换码设置'!$A:$C,2,FALSE),IF(AA2="单",VLOOKUP($A$1,'换码设置'!$A:$C,3,FALSE),0))</f>
        <v/>
      </c>
      <c r="AB3" s="0">
        <f>MAX(0,ROWS(UNIQUE(FILTER($F7:$F52,(AB7:AB52&gt;0)*($F7:$F52&lt;&gt;""))))-1)*IF(AB2="双",VLOOKUP($A$1,'换码设置'!$A:$C,2,FALSE),IF(AB2="单",VLOOKUP($A$1,'换码设置'!$A:$C,3,FALSE),0))</f>
        <v/>
      </c>
      <c r="AC3" s="0">
        <f>MAX(0,ROWS(UNIQUE(FILTER($F7:$F52,(AC7:AC52&gt;0)*($F7:$F52&lt;&gt;""))))-1)*IF(AC2="双",VLOOKUP($A$1,'换码设置'!$A:$C,2,FALSE),IF(AC2="单",VLOOKUP($A$1,'换码设置'!$A:$C,3,FALSE),0))</f>
        <v/>
      </c>
      <c r="AD3" s="0">
        <f>MAX(0,ROWS(UNIQUE(FILTER($F7:$F52,(AD7:AD52&gt;0)*($F7:$F52&lt;&gt;""))))-1)*IF(AD2="双",VLOOKUP($A$1,'换码设置'!$A:$C,2,FALSE),IF(AD2="单",VLOOKUP($A$1,'换码设置'!$A:$C,3,FALSE),0))</f>
        <v/>
      </c>
      <c r="AE3" s="0">
        <f>MAX(0,ROWS(UNIQUE(FILTER($F7:$F52,(AE7:AE52&gt;0)*($F7:$F52&lt;&gt;""))))-1)*IF(AE2="双",VLOOKUP($A$1,'换码设置'!$A:$C,2,FALSE),IF(AE2="单",VLOOKUP($A$1,'换码设置'!$A:$C,3,FALSE),0))</f>
        <v/>
      </c>
      <c r="AF3" s="0">
        <f>MAX(0,ROWS(UNIQUE(FILTER($F7:$F52,(AF7:AF52&gt;0)*($F7:$F52&lt;&gt;""))))-1)*IF(AF2="双",VLOOKUP($A$1,'换码设置'!$A:$C,2,FALSE),IF(AF2="单",VLOOKUP($A$1,'换码设置'!$A:$C,3,FALSE),0))</f>
        <v/>
      </c>
      <c r="AG3" s="0">
        <f>MAX(0,ROWS(UNIQUE(FILTER($F7:$F52,(AG7:AG52&gt;0)*($F7:$F52&lt;&gt;""))))-1)*IF(AG2="双",VLOOKUP($A$1,'换码设置'!$A:$C,2,FALSE),IF(AG2="单",VLOOKUP($A$1,'换码设置'!$A:$C,3,FALSE),0))</f>
        <v/>
      </c>
      <c r="AH3" s="0">
        <f>MAX(0,ROWS(UNIQUE(FILTER($F7:$F52,(AH7:AH52&gt;0)*($F7:$F52&lt;&gt;""))))-1)*IF(AH2="双",VLOOKUP($A$1,'换码设置'!$A:$C,2,FALSE),IF(AH2="单",VLOOKUP($A$1,'换码设置'!$A:$C,3,FALSE),0))</f>
        <v/>
      </c>
      <c r="AI3" s="0">
        <f>MAX(0,ROWS(UNIQUE(FILTER($F7:$F52,(AI7:AI52&gt;0)*($F7:$F52&lt;&gt;""))))-1)*IF(AI2="双",VLOOKUP($A$1,'换码设置'!$A:$C,2,FALSE),IF(AI2="单",VLOOKUP($A$1,'换码设置'!$A:$C,3,FALSE),0))</f>
        <v/>
      </c>
      <c r="AJ3" s="0">
        <f>MAX(0,ROWS(UNIQUE(FILTER($F7:$F52,(AJ7:AJ52&gt;0)*($F7:$F52&lt;&gt;""))))-1)*IF(AJ2="双",VLOOKUP($A$1,'换码设置'!$A:$C,2,FALSE),IF(AJ2="单",VLOOKUP($A$1,'换码设置'!$A:$C,3,FALSE),0))</f>
        <v/>
      </c>
      <c r="AK3" s="0">
        <f>MAX(0,ROWS(UNIQUE(FILTER($F7:$F52,(AK7:AK52&gt;0)*($F7:$F52&lt;&gt;""))))-1)*IF(AK2="双",VLOOKUP($A$1,'换码设置'!$A:$C,2,FALSE),IF(AK2="单",VLOOKUP($A$1,'换码设置'!$A:$C,3,FALSE),0))</f>
        <v/>
      </c>
      <c r="AL3" s="0">
        <f>MAX(0,ROWS(UNIQUE(FILTER($F7:$F52,(AL7:AL52&gt;0)*($F7:$F52&lt;&gt;""))))-1)*IF(AL2="双",VLOOKUP($A$1,'换码设置'!$A:$C,2,FALSE),IF(AL2="单",VLOOKUP($A$1,'换码设置'!$A:$C,3,FALSE),0))</f>
        <v/>
      </c>
      <c r="AM3" s="0">
        <f>MAX(0,ROWS(UNIQUE(FILTER($F7:$F52,(AM7:AM52&gt;0)*($F7:$F52&lt;&gt;""))))-1)*IF(AM2="双",VLOOKUP($A$1,'换码设置'!$A:$C,2,FALSE),IF(AM2="单",VLOOKUP($A$1,'换码设置'!$A:$C,3,FALSE),0))</f>
        <v/>
      </c>
      <c r="AN3" s="0">
        <f>MAX(0,ROWS(UNIQUE(FILTER($F7:$F52,(AN7:AN52&gt;0)*($F7:$F52&lt;&gt;""))))-1)*IF(AN2="双",VLOOKUP($A$1,'换码设置'!$A:$C,2,FALSE),IF(AN2="单",VLOOKUP($A$1,'换码设置'!$A:$C,3,FALSE),0))</f>
        <v/>
      </c>
      <c r="AO3" s="0">
        <f>MAX(0,ROWS(UNIQUE(FILTER($F7:$F52,(AO7:AO52&gt;0)*($F7:$F52&lt;&gt;""))))-1)*IF(AO2="双",VLOOKUP($A$1,'换码设置'!$A:$C,2,FALSE),IF(AO2="单",VLOOKUP($A$1,'换码设置'!$A:$C,3,FALSE),0))</f>
        <v/>
      </c>
      <c r="AP3" s="0">
        <f>MAX(0,ROWS(UNIQUE(FILTER($F7:$F52,(AP7:AP52&gt;0)*($F7:$F52&lt;&gt;""))))-1)*IF(AP2="双",VLOOKUP($A$1,'换码设置'!$A:$C,2,FALSE),IF(AP2="单",VLOOKUP($A$1,'换码设置'!$A:$C,3,FALSE),0))</f>
        <v/>
      </c>
      <c r="AQ3" s="0">
        <f>MAX(0,ROWS(UNIQUE(FILTER($F7:$F52,(AQ7:AQ52&gt;0)*($F7:$F52&lt;&gt;""))))-1)*IF(AQ2="双",VLOOKUP($A$1,'换码设置'!$A:$C,2,FALSE),IF(AQ2="单",VLOOKUP($A$1,'换码设置'!$A:$C,3,FALSE),0))</f>
        <v/>
      </c>
      <c r="AR3" s="0">
        <f>MAX(0,ROWS(UNIQUE(FILTER($F7:$F52,(AR7:AR52&gt;0)*($F7:$F52&lt;&gt;""))))-1)*IF(AR2="双",VLOOKUP($A$1,'换码设置'!$A:$C,2,FALSE),IF(AR2="单",VLOOKUP($A$1,'换码设置'!$A:$C,3,FALSE),0))</f>
        <v/>
      </c>
      <c r="AS3" s="0">
        <f>MAX(0,ROWS(UNIQUE(FILTER($F7:$F52,(AS7:AS52&gt;0)*($F7:$F52&lt;&gt;""))))-1)*IF(AS2="双",VLOOKUP($A$1,'换码设置'!$A:$C,2,FALSE),IF(AS2="单",VLOOKUP($A$1,'换码设置'!$A:$C,3,FALSE),0))</f>
        <v/>
      </c>
      <c r="AT3" s="0">
        <f>MAX(0,ROWS(UNIQUE(FILTER($F7:$F52,(AT7:AT52&gt;0)*($F7:$F52&lt;&gt;""))))-1)*IF(AT2="双",VLOOKUP($A$1,'换码设置'!$A:$C,2,FALSE),IF(AT2="单",VLOOKUP($A$1,'换码设置'!$A:$C,3,FALSE),0))</f>
        <v/>
      </c>
      <c r="AU3" s="0">
        <f>MAX(0,ROWS(UNIQUE(FILTER($F7:$F52,(AU7:AU52&gt;0)*($F7:$F52&lt;&gt;""))))-1)*IF(AU2="双",VLOOKUP($A$1,'换码设置'!$A:$C,2,FALSE),IF(AU2="单",VLOOKUP($A$1,'换码设置'!$A:$C,3,FALSE),0))</f>
        <v/>
      </c>
      <c r="AV3" s="0">
        <f>MAX(0,ROWS(UNIQUE(FILTER($F7:$F52,(AV7:AV52&gt;0)*($F7:$F52&lt;&gt;""))))-1)*IF(AV2="双",VLOOKUP($A$1,'换码设置'!$A:$C,2,FALSE),IF(AV2="单",VLOOKUP($A$1,'换码设置'!$A:$C,3,FALSE),0))</f>
        <v/>
      </c>
      <c r="AW3" s="0">
        <f>MAX(0,ROWS(UNIQUE(FILTER($F7:$F52,(AW7:AW52&gt;0)*($F7:$F52&lt;&gt;""))))-1)*IF(AW2="双",VLOOKUP($A$1,'换码设置'!$A:$C,2,FALSE),IF(AW2="单",VLOOKUP($A$1,'换码设置'!$A:$C,3,FALSE),0))</f>
        <v/>
      </c>
      <c r="AX3" s="0">
        <f>MAX(0,ROWS(UNIQUE(FILTER($F7:$F52,(AX7:AX52&gt;0)*($F7:$F52&lt;&gt;""))))-1)*IF(AX2="双",VLOOKUP($A$1,'换码设置'!$A:$C,2,FALSE),IF(AX2="单",VLOOKUP($A$1,'换码设置'!$A:$C,3,FALSE),0))</f>
        <v/>
      </c>
      <c r="AY3" s="0">
        <f>MAX(0,ROWS(UNIQUE(FILTER($F7:$F52,(AY7:AY52&gt;0)*($F7:$F52&lt;&gt;""))))-1)*IF(AY2="双",VLOOKUP($A$1,'换码设置'!$A:$C,2,FALSE),IF(AY2="单",VLOOKUP($A$1,'换码设置'!$A:$C,3,FALSE),0))</f>
        <v/>
      </c>
      <c r="AZ3" s="0">
        <f>MAX(0,ROWS(UNIQUE(FILTER($F7:$F52,(AZ7:AZ52&gt;0)*($F7:$F52&lt;&gt;""))))-1)*IF(AZ2="双",VLOOKUP($A$1,'换码设置'!$A:$C,2,FALSE),IF(AZ2="单",VLOOKUP($A$1,'换码设置'!$A:$C,3,FALSE),0))</f>
        <v/>
      </c>
      <c r="BA3" s="0">
        <f>MAX(0,ROWS(UNIQUE(FILTER($F7:$F52,(BA7:BA52&gt;0)*($F7:$F52&lt;&gt;""))))-1)*IF(BA2="双",VLOOKUP($A$1,'换码设置'!$A:$C,2,FALSE),IF(BA2="单",VLOOKUP($A$1,'换码设置'!$A:$C,3,FALSE),0))</f>
        <v/>
      </c>
      <c r="BB3" s="0">
        <f>MAX(0,ROWS(UNIQUE(FILTER($F7:$F52,(BB7:BB52&gt;0)*($F7:$F52&lt;&gt;""))))-1)*IF(BB2="双",VLOOKUP($A$1,'换码设置'!$A:$C,2,FALSE),IF(BB2="单",VLOOKUP($A$1,'换码设置'!$A:$C,3,FALSE),0))</f>
        <v/>
      </c>
      <c r="BC3" s="0">
        <f>MAX(0,ROWS(UNIQUE(FILTER($F7:$F52,(BC7:BC52&gt;0)*($F7:$F52&lt;&gt;""))))-1)*IF(BC2="双",VLOOKUP($A$1,'换码设置'!$A:$C,2,FALSE),IF(BC2="单",VLOOKUP($A$1,'换码设置'!$A:$C,3,FALSE),0))</f>
        <v/>
      </c>
      <c r="BD3" s="0">
        <f>MAX(0,ROWS(UNIQUE(FILTER($F7:$F52,(BD7:BD52&gt;0)*($F7:$F52&lt;&gt;""))))-1)*IF(BD2="双",VLOOKUP($A$1,'换码设置'!$A:$C,2,FALSE),IF(BD2="单",VLOOKUP($A$1,'换码设置'!$A:$C,3,FALSE),0))</f>
        <v/>
      </c>
      <c r="BE3" s="0">
        <f>MAX(0,ROWS(UNIQUE(FILTER($F7:$F52,(BE7:BE52&gt;0)*($F7:$F52&lt;&gt;""))))-1)*IF(BE2="双",VLOOKUP($A$1,'换码设置'!$A:$C,2,FALSE),IF(BE2="单",VLOOKUP($A$1,'换码设置'!$A:$C,3,FALSE),0))</f>
        <v/>
      </c>
      <c r="BF3" s="0">
        <f>MAX(0,ROWS(UNIQUE(FILTER($F7:$F52,(BF7:BF52&gt;0)*($F7:$F52&lt;&gt;""))))-1)*IF(BF2="双",VLOOKUP($A$1,'换码设置'!$A:$C,2,FALSE),IF(BF2="单",VLOOKUP($A$1,'换码设置'!$A:$C,3,FALSE),0))</f>
        <v/>
      </c>
      <c r="BG3" s="0">
        <f>MAX(0,ROWS(UNIQUE(FILTER($F7:$F52,(BG7:BG52&gt;0)*($F7:$F52&lt;&gt;""))))-1)*IF(BG2="双",VLOOKUP($A$1,'换码设置'!$A:$C,2,FALSE),IF(BG2="单",VLOOKUP($A$1,'换码设置'!$A:$C,3,FALSE),0))</f>
        <v/>
      </c>
      <c r="BH3" s="0">
        <f>MAX(0,ROWS(UNIQUE(FILTER($F7:$F52,(BH7:BH52&gt;0)*($F7:$F52&lt;&gt;""))))-1)*IF(BH2="双",VLOOKUP($A$1,'换码设置'!$A:$C,2,FALSE),IF(BH2="单",VLOOKUP($A$1,'换码设置'!$A:$C,3,FALSE),0))</f>
        <v/>
      </c>
      <c r="BI3" s="0">
        <f>MAX(0,ROWS(UNIQUE(FILTER($F7:$F52,(BI7:BI52&gt;0)*($F7:$F52&lt;&gt;""))))-1)*IF(BI2="双",VLOOKUP($A$1,'换码设置'!$A:$C,2,FALSE),IF(BI2="单",VLOOKUP($A$1,'换码设置'!$A:$C,3,FALSE),0))</f>
        <v/>
      </c>
      <c r="BJ3" s="0">
        <f>MAX(0,ROWS(UNIQUE(FILTER($F7:$F52,(BJ7:BJ52&gt;0)*($F7:$F52&lt;&gt;""))))-1)*IF(BJ2="双",VLOOKUP($A$1,'换码设置'!$A:$C,2,FALSE),IF(BJ2="单",VLOOKUP($A$1,'换码设置'!$A:$C,3,FALSE),0))</f>
        <v/>
      </c>
      <c r="BK3" s="0">
        <f>MAX(0,ROWS(UNIQUE(FILTER($F7:$F52,(BK7:BK52&gt;0)*($F7:$F52&lt;&gt;""))))-1)*IF(BK2="双",VLOOKUP($A$1,'换码设置'!$A:$C,2,FALSE),IF(BK2="单",VLOOKUP($A$1,'换码设置'!$A:$C,3,FALSE),0))</f>
        <v/>
      </c>
      <c r="BL3" s="0">
        <f>MAX(0,ROWS(UNIQUE(FILTER($F7:$F52,(BL7:BL52&gt;0)*($F7:$F52&lt;&gt;""))))-1)*IF(BL2="双",VLOOKUP($A$1,'换码设置'!$A:$C,2,FALSE),IF(BL2="单",VLOOKUP($A$1,'换码设置'!$A:$C,3,FALSE),0))</f>
        <v/>
      </c>
      <c r="BM3" s="0">
        <f>MAX(0,ROWS(UNIQUE(FILTER($F7:$F52,(BM7:BM52&gt;0)*($F7:$F52&lt;&gt;""))))-1)*IF(BM2="双",VLOOKUP($A$1,'换码设置'!$A:$C,2,FALSE),IF(BM2="单",VLOOKUP($A$1,'换码设置'!$A:$C,3,FALSE),0))</f>
        <v/>
      </c>
      <c r="BN3" s="0">
        <f>MAX(0,ROWS(UNIQUE(FILTER($F7:$F52,(BN7:BN52&gt;0)*($F7:$F52&lt;&gt;""))))-1)*IF(BN2="双",VLOOKUP($A$1,'换码设置'!$A:$C,2,FALSE),IF(BN2="单",VLOOKUP($A$1,'换码设置'!$A:$C,3,FALSE),0))</f>
        <v/>
      </c>
      <c r="BO3" s="0">
        <f>MAX(0,ROWS(UNIQUE(FILTER($F7:$F52,(BO7:BO52&gt;0)*($F7:$F52&lt;&gt;""))))-1)*IF(BO2="双",VLOOKUP($A$1,'换码设置'!$A:$C,2,FALSE),IF(BO2="单",VLOOKUP($A$1,'换码设置'!$A:$C,3,FALSE),0))</f>
        <v/>
      </c>
      <c r="BP3" s="0">
        <f>MAX(0,ROWS(UNIQUE(FILTER($F7:$F52,(BP7:BP52&gt;0)*($F7:$F52&lt;&gt;""))))-1)*IF(BP2="双",VLOOKUP($A$1,'换码设置'!$A:$C,2,FALSE),IF(BP2="单",VLOOKUP($A$1,'换码设置'!$A:$C,3,FALSE),0))</f>
        <v/>
      </c>
      <c r="BQ3" s="0">
        <f>MAX(0,ROWS(UNIQUE(FILTER($F7:$F52,(BQ7:BQ52&gt;0)*($F7:$F52&lt;&gt;""))))-1)*IF(BQ2="双",VLOOKUP($A$1,'换码设置'!$A:$C,2,FALSE),IF(BQ2="单",VLOOKUP($A$1,'换码设置'!$A:$C,3,FALSE),0))</f>
        <v/>
      </c>
    </row>
    <row r="4" ht="17" customFormat="1" customHeight="1" s="101">
      <c r="K4" s="103" t="n"/>
      <c r="L4" s="5" t="inlineStr">
        <is>
          <t>6月排产计划</t>
        </is>
      </c>
      <c r="M4" s="108">
        <f>SUM(AM5:BP5)</f>
        <v/>
      </c>
      <c r="N4" s="109" t="n">
        <v>46148</v>
      </c>
      <c r="O4" s="109" t="n">
        <v>46149</v>
      </c>
      <c r="P4" s="109" t="n">
        <v>46150</v>
      </c>
      <c r="Q4" s="109" t="n">
        <v>46151</v>
      </c>
      <c r="R4" s="109" t="n">
        <v>46152</v>
      </c>
      <c r="S4" s="109" t="n">
        <v>46153</v>
      </c>
      <c r="T4" s="109" t="n">
        <v>46154</v>
      </c>
      <c r="U4" s="109" t="n">
        <v>46155</v>
      </c>
      <c r="V4" s="109" t="n">
        <v>46156</v>
      </c>
      <c r="W4" s="109" t="n">
        <v>46157</v>
      </c>
      <c r="X4" s="109" t="n">
        <v>46158</v>
      </c>
      <c r="Y4" s="109" t="n">
        <v>46159</v>
      </c>
      <c r="Z4" s="109" t="n">
        <v>46160</v>
      </c>
      <c r="AA4" s="109" t="n">
        <v>46161</v>
      </c>
      <c r="AB4" s="109" t="n">
        <v>46162</v>
      </c>
      <c r="AC4" s="109" t="n">
        <v>46163</v>
      </c>
      <c r="AD4" s="109" t="n">
        <v>46164</v>
      </c>
      <c r="AE4" s="109" t="n">
        <v>46165</v>
      </c>
      <c r="AF4" s="109" t="n">
        <v>46166</v>
      </c>
      <c r="AG4" s="109" t="n">
        <v>46167</v>
      </c>
      <c r="AH4" s="109" t="n">
        <v>46168</v>
      </c>
      <c r="AI4" s="109" t="n">
        <v>46169</v>
      </c>
      <c r="AJ4" s="109" t="n">
        <v>46170</v>
      </c>
      <c r="AK4" s="109" t="n">
        <v>46171</v>
      </c>
      <c r="AL4" s="109" t="n">
        <v>46172</v>
      </c>
      <c r="AM4" s="109" t="n">
        <v>46173</v>
      </c>
      <c r="AN4" s="109" t="n">
        <v>46174</v>
      </c>
      <c r="AO4" s="109" t="n">
        <v>46175</v>
      </c>
      <c r="AP4" s="109" t="n">
        <v>46176</v>
      </c>
      <c r="AQ4" s="109" t="n">
        <v>46177</v>
      </c>
      <c r="AR4" s="109" t="n">
        <v>46178</v>
      </c>
      <c r="AS4" s="109" t="n">
        <v>46179</v>
      </c>
      <c r="AT4" s="109" t="n">
        <v>46180</v>
      </c>
      <c r="AU4" s="109" t="n">
        <v>46181</v>
      </c>
      <c r="AV4" s="109" t="n">
        <v>46182</v>
      </c>
      <c r="AW4" s="109" t="n">
        <v>46183</v>
      </c>
      <c r="AX4" s="109" t="n">
        <v>46184</v>
      </c>
      <c r="AY4" s="109" t="n">
        <v>46185</v>
      </c>
      <c r="AZ4" s="109" t="n">
        <v>46186</v>
      </c>
      <c r="BA4" s="109" t="n">
        <v>46187</v>
      </c>
      <c r="BB4" s="109" t="n">
        <v>46188</v>
      </c>
      <c r="BC4" s="109" t="n">
        <v>46189</v>
      </c>
      <c r="BD4" s="109" t="n">
        <v>46190</v>
      </c>
      <c r="BE4" s="109" t="n">
        <v>46191</v>
      </c>
      <c r="BF4" s="109" t="n">
        <v>46192</v>
      </c>
      <c r="BG4" s="109" t="n">
        <v>46193</v>
      </c>
      <c r="BH4" s="109" t="n">
        <v>46194</v>
      </c>
      <c r="BI4" s="109" t="n">
        <v>46195</v>
      </c>
      <c r="BJ4" s="109" t="n">
        <v>46196</v>
      </c>
      <c r="BK4" s="109" t="n">
        <v>46197</v>
      </c>
      <c r="BL4" s="109" t="n">
        <v>46198</v>
      </c>
      <c r="BM4" s="109" t="n">
        <v>46199</v>
      </c>
      <c r="BN4" s="109" t="n">
        <v>46200</v>
      </c>
      <c r="BO4" s="109" t="n">
        <v>46201</v>
      </c>
      <c r="BP4" s="109" t="n">
        <v>46202</v>
      </c>
      <c r="BQ4" s="109" t="n">
        <v>46203</v>
      </c>
    </row>
    <row r="5" ht="15.5" customFormat="1" customHeight="1" s="101">
      <c r="G5" s="101" t="n"/>
      <c r="J5" s="95" t="n"/>
      <c r="K5" s="96" t="n"/>
      <c r="L5" s="5" t="inlineStr">
        <is>
          <t>目前总共订单</t>
        </is>
      </c>
      <c r="M5" s="110">
        <f>SUM(L1:L3)</f>
        <v/>
      </c>
      <c r="N5" s="10">
        <f>IF(N2="单",$K$1,IF(N2="双",$K$2,0))-N3-N6</f>
        <v/>
      </c>
      <c r="O5" s="10">
        <f>IF(O2="单",$K$1,IF(O2="双",$K$2,0))-O3-O6</f>
        <v/>
      </c>
      <c r="P5" s="10">
        <f>IF(P2="单",$K$1,IF(P2="双",$K$2,0))-P3-P6</f>
        <v/>
      </c>
      <c r="Q5" s="10">
        <f>IF(Q2="单",$K$1,IF(Q2="双",$K$2,0))-Q3-Q6</f>
        <v/>
      </c>
      <c r="R5" s="10">
        <f>IF(R2="单",$K$1,IF(R2="双",$K$2,0))-R3-R6</f>
        <v/>
      </c>
      <c r="S5" s="10">
        <f>IF(S2="单",$K$1,IF(S2="双",$K$2,0))-S3-S6</f>
        <v/>
      </c>
      <c r="T5" s="10">
        <f>IF(T2="单",$K$1,IF(T2="双",$K$2,0))-T3-T6</f>
        <v/>
      </c>
      <c r="U5" s="10">
        <f>IF(U2="单",$K$1,IF(U2="双",$K$2,0))-U3-U6</f>
        <v/>
      </c>
      <c r="V5" s="10">
        <f>IF(V2="单",$K$1,IF(V2="双",$K$2,0))-V3-V6</f>
        <v/>
      </c>
      <c r="W5" s="10">
        <f>IF(W2="单",$K$1,IF(W2="双",$K$2,0))-W3-W6</f>
        <v/>
      </c>
      <c r="X5" s="10">
        <f>IF(X2="单",$K$1,IF(X2="双",$K$2,0))-X3-X6</f>
        <v/>
      </c>
      <c r="Y5" s="10">
        <f>IF(Y2="单",$K$1,IF(Y2="双",$K$2,0))-Y3-Y6</f>
        <v/>
      </c>
      <c r="Z5" s="10">
        <f>IF(Z2="单",$K$1,IF(Z2="双",$K$2,0))-Z3-Z6</f>
        <v/>
      </c>
      <c r="AA5" s="10">
        <f>IF(AA2="单",$K$1,IF(AA2="双",$K$2,0))-AA3-AA6</f>
        <v/>
      </c>
      <c r="AB5" s="10">
        <f>IF(AB2="单",$K$1,IF(AB2="双",$K$2,0))-AB3-AB6</f>
        <v/>
      </c>
      <c r="AC5" s="10">
        <f>IF(AC2="单",$K$1,IF(AC2="双",$K$2,0))-AC3-AC6</f>
        <v/>
      </c>
      <c r="AD5" s="10">
        <f>IF(AD2="单",$K$1,IF(AD2="双",$K$2,0))-AD3-AD6</f>
        <v/>
      </c>
      <c r="AE5" s="10">
        <f>IF(AE2="单",$K$1,IF(AE2="双",$K$2,0))-AE3-AE6</f>
        <v/>
      </c>
      <c r="AF5" s="10">
        <f>IF(AF2="单",$K$1,IF(AF2="双",$K$2,0))-AF3-AF6</f>
        <v/>
      </c>
      <c r="AG5" s="10">
        <f>IF(AG2="单",$K$1,IF(AG2="双",$K$2,0))-AG3-AG6</f>
        <v/>
      </c>
      <c r="AH5" s="10">
        <f>IF(AH2="单",$K$1,IF(AH2="双",$K$2,0))-AH3-AH6</f>
        <v/>
      </c>
      <c r="AI5" s="10">
        <f>IF(AI2="单",$K$1,IF(AI2="双",$K$2,0))-AI3-AI6</f>
        <v/>
      </c>
      <c r="AJ5" s="10">
        <f>IF(AJ2="单",$K$1,IF(AJ2="双",$K$2,0))-AJ3-AJ6</f>
        <v/>
      </c>
      <c r="AK5" s="10">
        <f>IF(AK2="单",$K$1,IF(AK2="双",$K$2,0))-AK3-AK6</f>
        <v/>
      </c>
      <c r="AL5" s="10">
        <f>IF(AL2="单",$K$1,IF(AL2="双",$K$2,0))-AL3-AL6</f>
        <v/>
      </c>
      <c r="AM5" s="10">
        <f>IF(AM2="单",$K$1,IF(AM2="双",$K$2,0))-AM3-AM6</f>
        <v/>
      </c>
      <c r="AN5" s="10">
        <f>IF(AN2="单",$K$1,IF(AN2="双",$K$2,0))-AN3-AN6</f>
        <v/>
      </c>
      <c r="AO5" s="10">
        <f>IF(AO2="单",$K$1,IF(AO2="双",$K$2,0))-AO3-AO6</f>
        <v/>
      </c>
      <c r="AP5" s="10">
        <f>IF(AP2="单",$K$1,IF(AP2="双",$K$2,0))-AP3-AP6</f>
        <v/>
      </c>
      <c r="AQ5" s="10">
        <f>IF(AQ2="单",$K$1,IF(AQ2="双",$K$2,0))-AQ3-AQ6</f>
        <v/>
      </c>
      <c r="AR5" s="10">
        <f>IF(AR2="单",$K$1,IF(AR2="双",$K$2,0))-AR3-AR6</f>
        <v/>
      </c>
      <c r="AS5" s="10">
        <f>IF(AS2="单",$K$1,IF(AS2="双",$K$2,0))-AS3-AS6</f>
        <v/>
      </c>
      <c r="AT5" s="10">
        <f>IF(AT2="单",$K$1,IF(AT2="双",$K$2,0))-AT3-AT6</f>
        <v/>
      </c>
      <c r="AU5" s="10">
        <f>IF(AU2="单",$K$1,IF(AU2="双",$K$2,0))-AU3-AU6</f>
        <v/>
      </c>
      <c r="AV5" s="10">
        <f>IF(AV2="单",$K$1,IF(AV2="双",$K$2,0))-AV3-AV6</f>
        <v/>
      </c>
      <c r="AW5" s="10">
        <f>IF(AW2="单",$K$1,IF(AW2="双",$K$2,0))-AW3-AW6</f>
        <v/>
      </c>
      <c r="AX5" s="10">
        <f>IF(AX2="单",$K$1,IF(AX2="双",$K$2,0))-AX3-AX6</f>
        <v/>
      </c>
      <c r="AY5" s="10">
        <f>IF(AY2="单",$K$1,IF(AY2="双",$K$2,0))-AY3-AY6</f>
        <v/>
      </c>
      <c r="AZ5" s="10">
        <f>IF(AZ2="单",$K$1,IF(AZ2="双",$K$2,0))-AZ3-AZ6</f>
        <v/>
      </c>
      <c r="BA5" s="10">
        <f>IF(BA2="单",$K$1,IF(BA2="双",$K$2,0))-BA3-BA6</f>
        <v/>
      </c>
      <c r="BB5" s="10">
        <f>IF(BB2="单",$K$1,IF(BB2="双",$K$2,0))-BB3-BB6</f>
        <v/>
      </c>
      <c r="BC5" s="10">
        <f>IF(BC2="单",$K$1,IF(BC2="双",$K$2,0))-BC3-BC6</f>
        <v/>
      </c>
      <c r="BD5" s="10">
        <f>IF(BD2="单",$K$1,IF(BD2="双",$K$2,0))-BD3-BD6</f>
        <v/>
      </c>
      <c r="BE5" s="10">
        <f>IF(BE2="单",$K$1,IF(BE2="双",$K$2,0))-BE3-BE6</f>
        <v/>
      </c>
      <c r="BF5" s="10">
        <f>IF(BF2="单",$K$1,IF(BF2="双",$K$2,0))-BF3-BF6</f>
        <v/>
      </c>
      <c r="BG5" s="10">
        <f>IF(BG2="单",$K$1,IF(BG2="双",$K$2,0))-BG3-BG6</f>
        <v/>
      </c>
      <c r="BH5" s="10">
        <f>IF(BH2="单",$K$1,IF(BH2="双",$K$2,0))-BH3-BH6</f>
        <v/>
      </c>
      <c r="BI5" s="10">
        <f>IF(BI2="单",$K$1,IF(BI2="双",$K$2,0))-BI3-BI6</f>
        <v/>
      </c>
      <c r="BJ5" s="10">
        <f>IF(BJ2="单",$K$1,IF(BJ2="双",$K$2,0))-BJ3-BJ6</f>
        <v/>
      </c>
      <c r="BK5" s="10">
        <f>IF(BK2="单",$K$1,IF(BK2="双",$K$2,0))-BK3-BK6</f>
        <v/>
      </c>
      <c r="BL5" s="10">
        <f>IF(BL2="单",$K$1,IF(BL2="双",$K$2,0))-BL3-BL6</f>
        <v/>
      </c>
      <c r="BM5" s="10">
        <f>IF(BM2="单",$K$1,IF(BM2="双",$K$2,0))-BM3-BM6</f>
        <v/>
      </c>
      <c r="BN5" s="10">
        <f>IF(BN2="单",$K$1,IF(BN2="双",$K$2,0))-BN3-BN6</f>
        <v/>
      </c>
      <c r="BO5" s="10">
        <f>IF(BO2="单",$K$1,IF(BO2="双",$K$2,0))-BO3-BO6</f>
        <v/>
      </c>
      <c r="BP5" s="10">
        <f>IF(BP2="单",$K$1,IF(BP2="双",$K$2,0))-BP3-BP6</f>
        <v/>
      </c>
      <c r="BQ5" s="10">
        <f>IF(BQ2="单",$K$1,IF(BQ2="双",$K$2,0))-BQ3-BQ6</f>
        <v/>
      </c>
    </row>
    <row r="6" ht="17.5" customFormat="1" customHeight="1" s="69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t="inlineStr">
        <is>
          <t>尺码</t>
        </is>
      </c>
      <c r="G6" s="97" t="inlineStr">
        <is>
          <t>规格(p*b*z)</t>
        </is>
      </c>
      <c r="H6" s="98" t="n"/>
      <c r="I6" s="111" t="inlineStr">
        <is>
          <t>下单时间</t>
        </is>
      </c>
      <c r="J6" s="112" t="inlineStr">
        <is>
          <t>最晚交货时间</t>
        </is>
      </c>
      <c r="K6" s="15" t="inlineStr">
        <is>
          <t>下单箱数</t>
        </is>
      </c>
      <c r="L6" s="16" t="inlineStr">
        <is>
          <t>下单片数</t>
        </is>
      </c>
      <c r="M6" s="17" t="inlineStr">
        <is>
          <t>剩余排产</t>
        </is>
      </c>
      <c r="N6" s="17">
        <f>SUMPRODUCT($G7:$G9964,$H7:$H9964,N$7:N$9964)</f>
        <v/>
      </c>
      <c r="O6" s="17">
        <f>SUMPRODUCT($G7:$G9964,$H7:$H9964,O$7:O$9964)</f>
        <v/>
      </c>
      <c r="P6" s="17">
        <f>SUMPRODUCT($G7:$G9964,$H7:$H9964,P$7:P$9964)</f>
        <v/>
      </c>
      <c r="Q6" s="17">
        <f>SUMPRODUCT($G7:$G9964,$H7:$H9964,Q$7:Q$9964)</f>
        <v/>
      </c>
      <c r="R6" s="17">
        <f>SUMPRODUCT($G7:$G9964,$H7:$H9964,R$7:R$9964)</f>
        <v/>
      </c>
      <c r="S6" s="17">
        <f>SUMPRODUCT($G7:$G9964,$H7:$H9964,S$7:S$9964)</f>
        <v/>
      </c>
      <c r="T6" s="17">
        <f>SUMPRODUCT($G7:$G9964,$H7:$H9964,T$7:T$9964)</f>
        <v/>
      </c>
      <c r="U6" s="17">
        <f>SUMPRODUCT($G7:$G9964,$H7:$H9964,U$7:U$9964)</f>
        <v/>
      </c>
      <c r="V6" s="17">
        <f>SUMPRODUCT($G7:$G9964,$H7:$H9964,V$7:V$9964)</f>
        <v/>
      </c>
      <c r="W6" s="17">
        <f>SUMPRODUCT($G7:$G9964,$H7:$H9964,W$7:W$9964)</f>
        <v/>
      </c>
      <c r="X6" s="17">
        <f>SUMPRODUCT($G7:$G9964,$H7:$H9964,X$7:X$9964)</f>
        <v/>
      </c>
      <c r="Y6" s="17">
        <f>SUMPRODUCT($G7:$G9964,$H7:$H9964,Y$7:Y$9964)</f>
        <v/>
      </c>
      <c r="Z6" s="17">
        <f>SUMPRODUCT($G7:$G9964,$H7:$H9964,Z$7:Z$9964)</f>
        <v/>
      </c>
      <c r="AA6" s="17">
        <f>SUMPRODUCT($G7:$G9964,$H7:$H9964,AA$7:AA$9964)</f>
        <v/>
      </c>
      <c r="AB6" s="17">
        <f>SUMPRODUCT($G7:$G9964,$H7:$H9964,AB$7:AB$9964)</f>
        <v/>
      </c>
      <c r="AC6" s="17">
        <f>SUMPRODUCT($G7:$G9964,$H7:$H9964,AC$7:AC$9964)</f>
        <v/>
      </c>
      <c r="AD6" s="17">
        <f>SUMPRODUCT($G7:$G9964,$H7:$H9964,AD$7:AD$9964)</f>
        <v/>
      </c>
      <c r="AE6" s="17">
        <f>SUMPRODUCT($G7:$G9964,$H7:$H9964,AE$7:AE$9964)</f>
        <v/>
      </c>
      <c r="AF6" s="17">
        <f>SUMPRODUCT($G7:$G9964,$H7:$H9964,AF$7:AF$9964)</f>
        <v/>
      </c>
      <c r="AG6" s="17">
        <f>SUMPRODUCT($G7:$G9964,$H7:$H9964,AG$7:AG$9964)</f>
        <v/>
      </c>
      <c r="AH6" s="17">
        <f>SUMPRODUCT($G7:$G9964,$H7:$H9964,AH$7:AH$9964)</f>
        <v/>
      </c>
      <c r="AI6" s="17">
        <f>SUMPRODUCT($G7:$G9964,$H7:$H9964,AI$7:AI$9964)</f>
        <v/>
      </c>
      <c r="AJ6" s="17">
        <f>SUMPRODUCT($G7:$G9964,$H7:$H9964,AJ$7:AJ$9964)</f>
        <v/>
      </c>
      <c r="AK6" s="17">
        <f>SUMPRODUCT($G7:$G9964,$H7:$H9964,AK$7:AK$9964)</f>
        <v/>
      </c>
      <c r="AL6" s="17">
        <f>SUMPRODUCT($G7:$G9964,$H7:$H9964,AL$7:AL$9964)</f>
        <v/>
      </c>
      <c r="AM6" s="17">
        <f>SUMPRODUCT($G7:$G9964,$H7:$H9964,AM$7:AM$9964)</f>
        <v/>
      </c>
      <c r="AN6" s="17">
        <f>SUMPRODUCT($G7:$G9964,$H7:$H9964,AN$7:AN$9964)</f>
        <v/>
      </c>
      <c r="AO6" s="17">
        <f>SUMPRODUCT($G7:$G9964,$H7:$H9964,AO$7:AO$9964)</f>
        <v/>
      </c>
      <c r="AP6" s="17">
        <f>SUMPRODUCT($G7:$G9964,$H7:$H9964,AP$7:AP$9964)</f>
        <v/>
      </c>
      <c r="AQ6" s="17">
        <f>SUMPRODUCT($G7:$G9964,$H7:$H9964,AQ$7:AQ$9964)</f>
        <v/>
      </c>
      <c r="AR6" s="17">
        <f>SUMPRODUCT($G7:$G9964,$H7:$H9964,AR$7:AR$9964)</f>
        <v/>
      </c>
      <c r="AS6" s="17">
        <f>SUMPRODUCT($G7:$G9964,$H7:$H9964,AS$7:AS$9964)</f>
        <v/>
      </c>
      <c r="AT6" s="17">
        <f>SUMPRODUCT($G7:$G9964,$H7:$H9964,AT$7:AT$9964)</f>
        <v/>
      </c>
      <c r="AU6" s="17">
        <f>SUMPRODUCT($G7:$G9964,$H7:$H9964,AU$7:AU$9964)</f>
        <v/>
      </c>
      <c r="AV6" s="17">
        <f>SUMPRODUCT($G7:$G9964,$H7:$H9964,AV$7:AV$9964)</f>
        <v/>
      </c>
      <c r="AW6" s="17">
        <f>SUMPRODUCT($G7:$G9964,$H7:$H9964,AW$7:AW$9964)</f>
        <v/>
      </c>
      <c r="AX6" s="17">
        <f>SUMPRODUCT($G7:$G9964,$H7:$H9964,AX$7:AX$9964)</f>
        <v/>
      </c>
      <c r="AY6" s="17">
        <f>SUMPRODUCT($G7:$G9964,$H7:$H9964,AY$7:AY$9964)</f>
        <v/>
      </c>
      <c r="AZ6" s="17">
        <f>SUMPRODUCT($G7:$G9964,$H7:$H9964,AZ$7:AZ$9964)</f>
        <v/>
      </c>
      <c r="BA6" s="17">
        <f>SUMPRODUCT($G7:$G9964,$H7:$H9964,BA$7:BA$9964)</f>
        <v/>
      </c>
      <c r="BB6" s="17">
        <f>SUMPRODUCT($G7:$G9964,$H7:$H9964,BB$7:BB$9964)</f>
        <v/>
      </c>
      <c r="BC6" s="17">
        <f>SUMPRODUCT($G7:$G9964,$H7:$H9964,BC$7:BC$9964)</f>
        <v/>
      </c>
      <c r="BD6" s="17">
        <f>SUMPRODUCT($G7:$G9964,$H7:$H9964,BD$7:BD$9964)</f>
        <v/>
      </c>
      <c r="BE6" s="17">
        <f>SUMPRODUCT($G7:$G9964,$H7:$H9964,BE$7:BE$9964)</f>
        <v/>
      </c>
      <c r="BF6" s="17">
        <f>SUMPRODUCT($G7:$G9964,$H7:$H9964,BF$7:BF$9964)</f>
        <v/>
      </c>
      <c r="BG6" s="17">
        <f>SUMPRODUCT($G7:$G9964,$H7:$H9964,BG$7:BG$9964)</f>
        <v/>
      </c>
      <c r="BH6" s="17">
        <f>SUMPRODUCT($G7:$G9964,$H7:$H9964,BH$7:BH$9964)</f>
        <v/>
      </c>
      <c r="BI6" s="17">
        <f>SUMPRODUCT($G7:$G9964,$H7:$H9964,BI$7:BI$9964)</f>
        <v/>
      </c>
      <c r="BJ6" s="17">
        <f>SUMPRODUCT($G7:$G9964,$H7:$H9964,BJ$7:BJ$9964)</f>
        <v/>
      </c>
      <c r="BK6" s="17">
        <f>SUMPRODUCT($G7:$G9964,$H7:$H9964,BK$7:BK$9964)</f>
        <v/>
      </c>
      <c r="BL6" s="17">
        <f>SUMPRODUCT($G7:$G9964,$H7:$H9964,BL$7:BL$9964)</f>
        <v/>
      </c>
      <c r="BM6" s="17">
        <f>SUMPRODUCT($G7:$G9964,$H7:$H9964,BM$7:BM$9964)</f>
        <v/>
      </c>
      <c r="BN6" s="17">
        <f>SUMPRODUCT($G7:$G9964,$H7:$H9964,BN$7:BN$9964)</f>
        <v/>
      </c>
      <c r="BO6" s="17">
        <f>SUMPRODUCT($G7:$G9964,$H7:$H9964,BO$7:BO$9964)</f>
        <v/>
      </c>
      <c r="BP6" s="17">
        <f>SUMPRODUCT($G7:$G9964,$H7:$H9964,BP$7:BP$9964)</f>
        <v/>
      </c>
      <c r="BQ6" s="17">
        <f>SUMPRODUCT($G7:$G9964,$H7:$H9964,BQ$7:BQ$9964)</f>
        <v/>
      </c>
    </row>
    <row r="7" ht="15.5" customFormat="1" customHeight="1" s="69">
      <c r="A7" s="70" t="inlineStr">
        <is>
          <t>1.1.02.710</t>
        </is>
      </c>
      <c r="B7" s="70" t="n"/>
      <c r="C7" s="70" t="inlineStr">
        <is>
          <t>NM-20260416001</t>
        </is>
      </c>
      <c r="D7" s="70" t="inlineStr">
        <is>
          <t>WO-ZZ00020602</t>
        </is>
      </c>
      <c r="E7" s="71" t="inlineStr">
        <is>
          <t>崇明红十字会组合装L码2023</t>
        </is>
      </c>
      <c r="F7" t="inlineStr">
        <is>
          <t>L</t>
        </is>
      </c>
      <c r="G7" s="72" t="n">
        <v>10</v>
      </c>
      <c r="H7" s="72" t="n">
        <v>5</v>
      </c>
      <c r="I7" s="113" t="n">
        <v>46128</v>
      </c>
      <c r="J7" s="114" t="n">
        <v>46148</v>
      </c>
      <c r="K7" s="72" t="n">
        <v>1400</v>
      </c>
      <c r="L7" s="72">
        <f>F7*G7*J7</f>
        <v/>
      </c>
      <c r="M7" s="72" t="n">
        <v>0</v>
      </c>
      <c r="N7" s="75" t="n">
        <v>1130</v>
      </c>
      <c r="O7" s="75" t="n"/>
      <c r="P7" s="75" t="n"/>
      <c r="Q7" s="75" t="n"/>
      <c r="R7" s="75" t="n"/>
      <c r="S7" s="75" t="n"/>
      <c r="T7" s="75" t="n"/>
      <c r="U7" s="75" t="n"/>
      <c r="V7" s="75" t="n"/>
      <c r="W7" s="75" t="n"/>
      <c r="X7" s="75" t="n"/>
      <c r="Y7" s="75" t="n"/>
      <c r="Z7" s="75" t="n"/>
      <c r="AA7" s="75" t="n"/>
      <c r="AB7" s="75" t="n"/>
      <c r="AC7" s="75" t="n"/>
      <c r="AD7" s="75" t="n"/>
      <c r="AE7" s="75" t="n"/>
      <c r="AF7" s="75" t="n"/>
      <c r="AG7" s="75" t="n"/>
      <c r="AH7" s="75" t="n"/>
      <c r="AI7" s="75" t="n"/>
      <c r="AJ7" s="75" t="n"/>
      <c r="AK7" s="75" t="n"/>
      <c r="AL7" s="75" t="n"/>
      <c r="AM7" s="75" t="n"/>
      <c r="AN7" s="75" t="n"/>
      <c r="AO7" s="75" t="n"/>
      <c r="AP7" s="75" t="n"/>
      <c r="AQ7" s="75" t="n"/>
      <c r="AR7" s="75" t="n"/>
      <c r="AS7" s="75" t="n"/>
      <c r="AT7" s="75" t="n"/>
      <c r="AU7" s="75" t="n"/>
      <c r="AV7" s="75" t="n"/>
      <c r="AW7" s="75" t="n"/>
      <c r="AX7" s="75" t="n"/>
      <c r="AY7" s="75" t="n"/>
      <c r="AZ7" s="75" t="n"/>
      <c r="BA7" s="75" t="n"/>
      <c r="BB7" s="75" t="n"/>
      <c r="BC7" s="75" t="n"/>
      <c r="BD7" s="75" t="n"/>
      <c r="BE7" s="75" t="n"/>
      <c r="BF7" s="75" t="n"/>
      <c r="BG7" s="75" t="n"/>
      <c r="BH7" s="75" t="n"/>
      <c r="BI7" s="75" t="n"/>
      <c r="BJ7" s="75" t="n"/>
      <c r="BK7" s="75" t="n"/>
      <c r="BL7" s="75" t="n"/>
      <c r="BM7" s="75" t="n"/>
      <c r="BN7" s="75" t="n"/>
      <c r="BO7" s="75" t="n"/>
      <c r="BP7" s="75" t="n"/>
      <c r="BQ7" s="75" t="n"/>
    </row>
    <row r="8" ht="15.5" customFormat="1" customHeight="1" s="69">
      <c r="A8" s="76" t="inlineStr">
        <is>
          <t>1.1.02.395S</t>
        </is>
      </c>
      <c r="B8" s="77" t="n"/>
      <c r="C8" s="77" t="n"/>
      <c r="D8" s="72" t="inlineStr">
        <is>
          <t>WO-ZZ00020678</t>
        </is>
      </c>
      <c r="E8" s="71" t="inlineStr">
        <is>
          <t>CARESS BASIC L(10+1)*10</t>
        </is>
      </c>
      <c r="F8" t="inlineStr">
        <is>
          <t>L</t>
        </is>
      </c>
      <c r="G8" s="72" t="n">
        <v>11</v>
      </c>
      <c r="H8" s="72" t="n">
        <v>10</v>
      </c>
      <c r="I8" s="115" t="n"/>
      <c r="J8" s="114" t="n"/>
      <c r="K8" s="72" t="n">
        <v>2500</v>
      </c>
      <c r="L8" s="72">
        <f>F8*G8*J8</f>
        <v/>
      </c>
      <c r="M8" s="76" t="n">
        <v>0</v>
      </c>
      <c r="N8" s="75" t="n"/>
      <c r="O8" s="75" t="n"/>
      <c r="P8" s="75" t="n"/>
      <c r="Q8" s="75" t="n"/>
      <c r="R8" s="75" t="n"/>
      <c r="S8" s="75" t="n"/>
      <c r="T8" s="75" t="n"/>
      <c r="U8" s="75" t="n"/>
      <c r="V8" s="75" t="n"/>
      <c r="W8" s="75" t="n"/>
      <c r="X8" s="75" t="n"/>
      <c r="Y8" s="75" t="n"/>
      <c r="Z8" s="75" t="n"/>
      <c r="AA8" s="75" t="n"/>
      <c r="AB8" s="75" t="n"/>
      <c r="AC8" s="75" t="n"/>
      <c r="AD8" s="75" t="n"/>
      <c r="AE8" s="75" t="n"/>
      <c r="AF8" s="75" t="n"/>
      <c r="AG8" s="75" t="n"/>
      <c r="AH8" s="75" t="n"/>
      <c r="AI8" s="75" t="n"/>
      <c r="AJ8" s="75" t="n"/>
      <c r="AK8" s="75" t="n"/>
      <c r="AL8" s="75" t="n"/>
      <c r="AM8" s="75" t="n"/>
      <c r="AN8" s="75" t="n"/>
      <c r="AO8" s="75" t="n"/>
      <c r="AP8" s="75" t="n"/>
      <c r="AQ8" s="75" t="n"/>
      <c r="AR8" s="75" t="n"/>
      <c r="AS8" s="75" t="n"/>
      <c r="AT8" s="75" t="n"/>
      <c r="AU8" s="75" t="n"/>
      <c r="AV8" s="75" t="n"/>
      <c r="AW8" s="75" t="n"/>
      <c r="AX8" s="75" t="n"/>
      <c r="AY8" s="75" t="n"/>
      <c r="AZ8" s="75" t="n"/>
      <c r="BA8" s="75" t="n"/>
      <c r="BB8" s="75" t="n"/>
      <c r="BC8" s="75" t="n"/>
      <c r="BD8" s="75" t="n"/>
      <c r="BE8" s="75" t="n"/>
      <c r="BF8" s="75" t="n"/>
      <c r="BG8" s="75" t="n"/>
      <c r="BH8" s="75" t="n"/>
      <c r="BI8" s="75" t="n"/>
      <c r="BJ8" s="75" t="n"/>
      <c r="BK8" s="75" t="n"/>
      <c r="BL8" s="75" t="n"/>
      <c r="BM8" s="75" t="n"/>
      <c r="BN8" s="75" t="n"/>
      <c r="BO8" s="75" t="n"/>
      <c r="BP8" s="75" t="n"/>
      <c r="BQ8" s="75" t="n"/>
    </row>
    <row r="9" ht="15.5" customFormat="1" customHeight="1" s="69">
      <c r="A9" s="72" t="inlineStr">
        <is>
          <t>1.1.04.614</t>
        </is>
      </c>
      <c r="B9" s="72" t="inlineStr">
        <is>
          <t>NM-20260210-002</t>
        </is>
      </c>
      <c r="C9" s="72" t="n"/>
      <c r="D9" s="72" t="inlineStr">
        <is>
          <t>WO-ZZ00020037</t>
        </is>
      </c>
      <c r="E9" s="71" t="inlineStr">
        <is>
          <t>珍琦SUNKISS增强系列系列成人纸尿裤S码（10片*8包）</t>
        </is>
      </c>
      <c r="F9" t="inlineStr">
        <is>
          <t>S</t>
        </is>
      </c>
      <c r="G9" s="72" t="n">
        <v>10</v>
      </c>
      <c r="H9" s="72" t="n">
        <v>8</v>
      </c>
      <c r="I9" s="113" t="n">
        <v>46063</v>
      </c>
      <c r="J9" s="113" t="n">
        <v>46096</v>
      </c>
      <c r="K9" s="72" t="n">
        <v>200</v>
      </c>
      <c r="L9" s="72">
        <f>F9*G9*J9</f>
        <v/>
      </c>
      <c r="M9" s="76" t="n">
        <v>0</v>
      </c>
      <c r="N9" s="75" t="n"/>
      <c r="O9" s="75" t="n"/>
      <c r="P9" s="75" t="n"/>
      <c r="Q9" s="75" t="n"/>
      <c r="R9" s="75" t="n"/>
      <c r="S9" s="75" t="n"/>
      <c r="T9" s="75" t="n"/>
      <c r="U9" s="75" t="n"/>
      <c r="V9" s="75" t="n"/>
      <c r="W9" s="75" t="n"/>
      <c r="X9" s="75" t="n"/>
      <c r="Y9" s="75" t="n"/>
      <c r="Z9" s="75" t="n"/>
      <c r="AA9" s="75" t="n"/>
      <c r="AB9" s="75" t="n"/>
      <c r="AC9" s="75" t="n"/>
      <c r="AD9" s="75" t="n"/>
      <c r="AE9" s="75" t="n"/>
      <c r="AF9" s="75" t="n"/>
      <c r="AG9" s="75" t="n"/>
      <c r="AH9" s="75" t="n"/>
      <c r="AI9" s="75" t="n"/>
      <c r="AJ9" s="75" t="n"/>
      <c r="AK9" s="75" t="n"/>
      <c r="AL9" s="75" t="n"/>
      <c r="AM9" s="75" t="n"/>
      <c r="AN9" s="75" t="n"/>
      <c r="AO9" s="75" t="n"/>
      <c r="AP9" s="75" t="n"/>
      <c r="AQ9" s="75" t="n"/>
      <c r="AR9" s="75" t="n"/>
      <c r="AS9" s="75" t="n"/>
      <c r="AT9" s="75" t="n"/>
      <c r="AU9" s="75" t="n"/>
      <c r="AV9" s="75" t="n"/>
      <c r="AW9" s="75" t="n"/>
      <c r="AX9" s="75" t="n"/>
      <c r="AY9" s="75" t="n"/>
      <c r="AZ9" s="75" t="n"/>
      <c r="BA9" s="75" t="n"/>
      <c r="BB9" s="75" t="n"/>
      <c r="BC9" s="75" t="n"/>
      <c r="BD9" s="75" t="n"/>
      <c r="BE9" s="75" t="n"/>
      <c r="BF9" s="75" t="n"/>
      <c r="BG9" s="75" t="n"/>
      <c r="BH9" s="75" t="n"/>
      <c r="BI9" s="75" t="n"/>
      <c r="BJ9" s="75" t="n"/>
      <c r="BK9" s="75" t="n"/>
      <c r="BL9" s="75" t="n"/>
      <c r="BM9" s="75" t="n"/>
      <c r="BN9" s="75" t="n"/>
      <c r="BO9" s="75" t="n"/>
      <c r="BP9" s="75" t="n"/>
      <c r="BQ9" s="75" t="n"/>
    </row>
    <row r="10" ht="15.5" customFormat="1" customHeight="1" s="69">
      <c r="A10" s="72" t="inlineStr">
        <is>
          <t>1.1.04.007</t>
        </is>
      </c>
      <c r="B10" s="72" t="inlineStr">
        <is>
          <t>KJ-20260210-PREDICT</t>
        </is>
      </c>
      <c r="C10" s="72" t="n"/>
      <c r="D10" s="72" t="inlineStr">
        <is>
          <t>WO-ZZ00020041</t>
        </is>
      </c>
      <c r="E10" s="71" t="inlineStr">
        <is>
          <t>SUNKISS夜用系列成人纸尿裤S码(12片*4包)</t>
        </is>
      </c>
      <c r="F10" t="inlineStr">
        <is>
          <t>S</t>
        </is>
      </c>
      <c r="G10" s="72" t="n">
        <v>12</v>
      </c>
      <c r="H10" s="72" t="n">
        <v>4</v>
      </c>
      <c r="I10" s="113" t="n">
        <v>46063</v>
      </c>
      <c r="J10" s="113" t="n">
        <v>46127</v>
      </c>
      <c r="K10" s="72" t="n">
        <v>150</v>
      </c>
      <c r="L10" s="72">
        <f>F10*G10*J10</f>
        <v/>
      </c>
      <c r="M10" s="76" t="n">
        <v>0</v>
      </c>
      <c r="N10" s="75" t="n"/>
      <c r="O10" s="75" t="n"/>
      <c r="P10" s="75" t="n"/>
      <c r="Q10" s="75" t="n"/>
      <c r="R10" s="75" t="n"/>
      <c r="S10" s="75" t="n"/>
      <c r="T10" s="75" t="n"/>
      <c r="U10" s="75" t="n"/>
      <c r="V10" s="75" t="n"/>
      <c r="W10" s="75" t="n"/>
      <c r="X10" s="75" t="n"/>
      <c r="Y10" s="75" t="n"/>
      <c r="Z10" s="75" t="n"/>
      <c r="AA10" s="75" t="n"/>
      <c r="AB10" s="75" t="n"/>
      <c r="AC10" s="75" t="n"/>
      <c r="AD10" s="75" t="n"/>
      <c r="AE10" s="75" t="n"/>
      <c r="AF10" s="75" t="n"/>
      <c r="AG10" s="75" t="n"/>
      <c r="AH10" s="75" t="n"/>
      <c r="AI10" s="75" t="n"/>
      <c r="AJ10" s="75" t="n"/>
      <c r="AK10" s="75" t="n"/>
      <c r="AL10" s="75" t="n"/>
      <c r="AM10" s="75" t="n"/>
      <c r="AN10" s="75" t="n"/>
      <c r="AO10" s="75" t="n"/>
      <c r="AP10" s="75" t="n"/>
      <c r="AQ10" s="75" t="n"/>
      <c r="AR10" s="75" t="n"/>
      <c r="AS10" s="75" t="n"/>
      <c r="AT10" s="75" t="n"/>
      <c r="AU10" s="75" t="n"/>
      <c r="AV10" s="75" t="n"/>
      <c r="AW10" s="75" t="n"/>
      <c r="AX10" s="75" t="n"/>
      <c r="AY10" s="75" t="n"/>
      <c r="AZ10" s="75" t="n"/>
      <c r="BA10" s="75" t="n"/>
      <c r="BB10" s="75" t="n"/>
      <c r="BC10" s="75" t="n"/>
      <c r="BD10" s="75" t="n"/>
      <c r="BE10" s="75" t="n"/>
      <c r="BF10" s="75" t="n"/>
      <c r="BG10" s="75" t="n"/>
      <c r="BH10" s="75" t="n"/>
      <c r="BI10" s="75" t="n"/>
      <c r="BJ10" s="75" t="n"/>
      <c r="BK10" s="75" t="n"/>
      <c r="BL10" s="75" t="n"/>
      <c r="BM10" s="75" t="n"/>
      <c r="BN10" s="75" t="n"/>
      <c r="BO10" s="75" t="n"/>
      <c r="BP10" s="75" t="n"/>
      <c r="BQ10" s="75" t="n"/>
    </row>
    <row r="11" ht="15.5" customFormat="1" customHeight="1" s="69">
      <c r="A11" s="72" t="inlineStr">
        <is>
          <t>1.1.04.008</t>
        </is>
      </c>
      <c r="B11" s="72" t="inlineStr">
        <is>
          <t>KJ-20260210-PREDICT</t>
        </is>
      </c>
      <c r="C11" s="72" t="n"/>
      <c r="D11" s="72" t="inlineStr">
        <is>
          <t>WO-ZZ00020039</t>
        </is>
      </c>
      <c r="E11" s="71" t="inlineStr">
        <is>
          <t>SUNKISS夜用系列成人纸尿裤S码(12片*4包)B（整箱）</t>
        </is>
      </c>
      <c r="F11" t="inlineStr">
        <is>
          <t>S</t>
        </is>
      </c>
      <c r="G11" s="72" t="n">
        <v>12</v>
      </c>
      <c r="H11" s="72" t="n">
        <v>4</v>
      </c>
      <c r="I11" s="113" t="n">
        <v>46063</v>
      </c>
      <c r="J11" s="113" t="n">
        <v>46127</v>
      </c>
      <c r="K11" s="72" t="n">
        <v>200</v>
      </c>
      <c r="L11" s="72">
        <f>F11*G11*J11</f>
        <v/>
      </c>
      <c r="M11" s="76" t="n">
        <v>0</v>
      </c>
      <c r="N11" s="75" t="n"/>
      <c r="O11" s="75" t="n"/>
      <c r="P11" s="75" t="n"/>
      <c r="Q11" s="75" t="n"/>
      <c r="R11" s="75" t="n"/>
      <c r="S11" s="75" t="n"/>
      <c r="T11" s="75" t="n"/>
      <c r="U11" s="75" t="n"/>
      <c r="V11" s="75" t="n"/>
      <c r="W11" s="75" t="n"/>
      <c r="X11" s="75" t="n"/>
      <c r="Y11" s="75" t="n"/>
      <c r="Z11" s="75" t="n"/>
      <c r="AA11" s="75" t="n"/>
      <c r="AB11" s="75" t="n"/>
      <c r="AC11" s="75" t="n"/>
      <c r="AD11" s="75" t="n"/>
      <c r="AE11" s="75" t="n"/>
      <c r="AF11" s="75" t="n"/>
      <c r="AG11" s="75" t="n"/>
      <c r="AH11" s="75" t="n"/>
      <c r="AI11" s="75" t="n"/>
      <c r="AJ11" s="75" t="n"/>
      <c r="AK11" s="75" t="n"/>
      <c r="AL11" s="75" t="n"/>
      <c r="AM11" s="75" t="n"/>
      <c r="AN11" s="75" t="n"/>
      <c r="AO11" s="75" t="n"/>
      <c r="AP11" s="75" t="n"/>
      <c r="AQ11" s="75" t="n"/>
      <c r="AR11" s="75" t="n"/>
      <c r="AS11" s="75" t="n"/>
      <c r="AT11" s="75" t="n"/>
      <c r="AU11" s="75" t="n"/>
      <c r="AV11" s="75" t="n"/>
      <c r="AW11" s="75" t="n"/>
      <c r="AX11" s="75" t="n"/>
      <c r="AY11" s="75" t="n"/>
      <c r="AZ11" s="75" t="n"/>
      <c r="BA11" s="75" t="n"/>
      <c r="BB11" s="75" t="n"/>
      <c r="BC11" s="75" t="n"/>
      <c r="BD11" s="75" t="n"/>
      <c r="BE11" s="75" t="n"/>
      <c r="BF11" s="75" t="n"/>
      <c r="BG11" s="75" t="n"/>
      <c r="BH11" s="75" t="n"/>
      <c r="BI11" s="75" t="n"/>
      <c r="BJ11" s="75" t="n"/>
      <c r="BK11" s="75" t="n"/>
      <c r="BL11" s="75" t="n"/>
      <c r="BM11" s="75" t="n"/>
      <c r="BN11" s="75" t="n"/>
      <c r="BO11" s="75" t="n"/>
      <c r="BP11" s="75" t="n"/>
      <c r="BQ11" s="75" t="n"/>
    </row>
    <row r="12" ht="15.5" customFormat="1" customHeight="1" s="69">
      <c r="A12" s="72" t="inlineStr">
        <is>
          <t>1.1.04.009</t>
        </is>
      </c>
      <c r="B12" s="72" t="inlineStr">
        <is>
          <t>KJ-20260210-PREDICT</t>
        </is>
      </c>
      <c r="C12" s="72" t="n"/>
      <c r="D12" s="72" t="inlineStr">
        <is>
          <t>WO-ZZ00020040</t>
        </is>
      </c>
      <c r="E12" s="71" t="inlineStr">
        <is>
          <t>SUNKISS成人纸尿裤S码(15片*4包)</t>
        </is>
      </c>
      <c r="F12" t="inlineStr">
        <is>
          <t>S</t>
        </is>
      </c>
      <c r="G12" s="72" t="n">
        <v>15</v>
      </c>
      <c r="H12" s="72" t="n">
        <v>4</v>
      </c>
      <c r="I12" s="113" t="n">
        <v>46063</v>
      </c>
      <c r="J12" s="113" t="n">
        <v>46127</v>
      </c>
      <c r="K12" s="72" t="n">
        <v>500</v>
      </c>
      <c r="L12" s="72">
        <f>F12*G12*J12</f>
        <v/>
      </c>
      <c r="M12" s="76" t="n">
        <v>0</v>
      </c>
      <c r="N12" s="75" t="n">
        <v>500</v>
      </c>
      <c r="O12" s="75" t="n"/>
      <c r="P12" s="75" t="n"/>
      <c r="Q12" s="75" t="n"/>
      <c r="R12" s="75" t="n"/>
      <c r="S12" s="75" t="n"/>
      <c r="T12" s="75" t="n"/>
      <c r="U12" s="75" t="n"/>
      <c r="V12" s="75" t="n"/>
      <c r="W12" s="75" t="n"/>
      <c r="X12" s="75" t="n"/>
      <c r="Y12" s="75" t="n"/>
      <c r="Z12" s="75" t="n"/>
      <c r="AA12" s="75" t="n"/>
      <c r="AB12" s="75" t="n"/>
      <c r="AC12" s="75" t="n"/>
      <c r="AD12" s="75" t="n"/>
      <c r="AE12" s="75" t="n"/>
      <c r="AF12" s="75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C12" s="75" t="n"/>
      <c r="BD12" s="75" t="n"/>
      <c r="BE12" s="75" t="n"/>
      <c r="BF12" s="75" t="n"/>
      <c r="BG12" s="75" t="n"/>
      <c r="BH12" s="75" t="n"/>
      <c r="BI12" s="75" t="n"/>
      <c r="BJ12" s="75" t="n"/>
      <c r="BK12" s="75" t="n"/>
      <c r="BL12" s="75" t="n"/>
      <c r="BM12" s="75" t="n"/>
      <c r="BN12" s="75" t="n"/>
      <c r="BO12" s="75" t="n"/>
      <c r="BP12" s="75" t="n"/>
      <c r="BQ12" s="75" t="n"/>
    </row>
    <row r="13" ht="17.5" customHeight="1" s="91">
      <c r="A13" s="72" t="inlineStr">
        <is>
          <t>1.1.04.010</t>
        </is>
      </c>
      <c r="B13" s="72" t="inlineStr">
        <is>
          <t>KJ-20260210-PREDICT</t>
        </is>
      </c>
      <c r="C13" s="72" t="n"/>
      <c r="D13" s="72" t="inlineStr">
        <is>
          <t>WO-ZZ00020038</t>
        </is>
      </c>
      <c r="E13" s="71" t="inlineStr">
        <is>
          <t>SUNKISS成人纸尿裤S码(15片*4包)B（整箱）</t>
        </is>
      </c>
      <c r="F13" t="inlineStr">
        <is>
          <t>S</t>
        </is>
      </c>
      <c r="G13" s="72" t="n">
        <v>15</v>
      </c>
      <c r="H13" s="72" t="n">
        <v>4</v>
      </c>
      <c r="I13" s="113" t="n">
        <v>46063</v>
      </c>
      <c r="J13" s="113" t="n">
        <v>46127</v>
      </c>
      <c r="K13" s="72" t="n">
        <v>300</v>
      </c>
      <c r="L13" s="72">
        <f>F13*G13*J13</f>
        <v/>
      </c>
      <c r="M13" s="76" t="n">
        <v>0</v>
      </c>
      <c r="N13" s="75" t="n">
        <v>300</v>
      </c>
      <c r="O13" s="75" t="n"/>
      <c r="P13" s="75" t="n"/>
      <c r="Q13" s="75" t="n"/>
      <c r="R13" s="75" t="n"/>
      <c r="S13" s="75" t="n"/>
      <c r="T13" s="75" t="n"/>
      <c r="U13" s="75" t="n"/>
      <c r="V13" s="75" t="n"/>
      <c r="W13" s="75" t="n"/>
      <c r="X13" s="75" t="n"/>
      <c r="Y13" s="75" t="n"/>
      <c r="Z13" s="75" t="n"/>
      <c r="AA13" s="75" t="n"/>
      <c r="AB13" s="75" t="n"/>
      <c r="AC13" s="75" t="n"/>
      <c r="AD13" s="75" t="n"/>
      <c r="AE13" s="75" t="n"/>
      <c r="AF13" s="75" t="n"/>
      <c r="AG13" s="75" t="n"/>
      <c r="AH13" s="75" t="n"/>
      <c r="AI13" s="75" t="n"/>
      <c r="AJ13" s="75" t="n"/>
      <c r="AK13" s="75" t="n"/>
      <c r="AL13" s="75" t="n"/>
      <c r="AM13" s="75" t="n"/>
      <c r="AN13" s="75" t="n"/>
      <c r="AO13" s="75" t="n"/>
      <c r="AP13" s="75" t="n"/>
      <c r="AQ13" s="75" t="n"/>
      <c r="AR13" s="75" t="n"/>
      <c r="AS13" s="75" t="n"/>
      <c r="AT13" s="75" t="n"/>
      <c r="AU13" s="75" t="n"/>
      <c r="AV13" s="75" t="n"/>
      <c r="AW13" s="75" t="n"/>
      <c r="AX13" s="75" t="n"/>
      <c r="AY13" s="75" t="n"/>
      <c r="AZ13" s="75" t="n"/>
      <c r="BA13" s="75" t="n"/>
      <c r="BB13" s="75" t="n"/>
      <c r="BC13" s="75" t="n"/>
      <c r="BD13" s="75" t="n"/>
      <c r="BE13" s="75" t="n"/>
      <c r="BF13" s="75" t="n"/>
      <c r="BG13" s="75" t="n"/>
      <c r="BH13" s="75" t="n"/>
      <c r="BI13" s="75" t="n"/>
      <c r="BJ13" s="75" t="n"/>
      <c r="BK13" s="75" t="n"/>
      <c r="BL13" s="75" t="n"/>
      <c r="BM13" s="75" t="n"/>
      <c r="BN13" s="75" t="n"/>
      <c r="BO13" s="75" t="n"/>
      <c r="BP13" s="75" t="n"/>
      <c r="BQ13" s="75" t="n"/>
    </row>
    <row r="14" ht="15.5" customFormat="1" customHeight="1" s="2">
      <c r="A14" s="35" t="inlineStr">
        <is>
          <t>1.1.02.703</t>
        </is>
      </c>
      <c r="B14" s="35" t="n"/>
      <c r="C14" s="35" t="inlineStr">
        <is>
          <t>DS-20260402-001</t>
        </is>
      </c>
      <c r="D14" s="35" t="inlineStr">
        <is>
          <t>WO-ZZ00020488</t>
        </is>
      </c>
      <c r="E14" s="21" t="inlineStr">
        <is>
          <t>珍琦电商系列夜用型成人纸尿裤L码（10片*6包</t>
        </is>
      </c>
      <c r="F14" t="inlineStr">
        <is>
          <t>L</t>
        </is>
      </c>
      <c r="G14" s="19" t="n">
        <v>10</v>
      </c>
      <c r="H14" s="19" t="n">
        <v>6</v>
      </c>
      <c r="I14" s="116" t="n">
        <v>46114</v>
      </c>
      <c r="J14" s="117" t="n">
        <v>46147</v>
      </c>
      <c r="K14" s="19" t="n">
        <v>1800</v>
      </c>
      <c r="L14" s="19">
        <f>F14*G14*J14</f>
        <v/>
      </c>
      <c r="M14" s="19" t="n">
        <v>0</v>
      </c>
      <c r="N14" s="28" t="n">
        <v>456</v>
      </c>
      <c r="O14" s="28" t="n">
        <v>1344</v>
      </c>
      <c r="P14" s="28" t="n"/>
      <c r="Q14" s="28" t="n"/>
      <c r="R14" s="28" t="n"/>
      <c r="S14" s="28" t="n"/>
      <c r="T14" s="28" t="n"/>
      <c r="U14" s="28" t="n"/>
      <c r="V14" s="28" t="n"/>
      <c r="W14" s="28" t="n"/>
      <c r="X14" s="28" t="n"/>
      <c r="Y14" s="28" t="n"/>
      <c r="Z14" s="28" t="n"/>
      <c r="AA14" s="28" t="n"/>
      <c r="AB14" s="28" t="n"/>
      <c r="AC14" s="28" t="n"/>
      <c r="AD14" s="28" t="n"/>
      <c r="AE14" s="28" t="n"/>
      <c r="AF14" s="28" t="n"/>
      <c r="AG14" s="28" t="n"/>
      <c r="AH14" s="28" t="n"/>
      <c r="AI14" s="28" t="n"/>
      <c r="AJ14" s="28" t="n"/>
      <c r="AK14" s="28" t="n"/>
      <c r="AL14" s="28" t="n"/>
      <c r="AM14" s="28" t="n"/>
      <c r="AN14" s="28" t="n"/>
      <c r="AO14" s="28" t="n"/>
      <c r="AP14" s="28" t="n"/>
      <c r="AQ14" s="28" t="n"/>
      <c r="AR14" s="28" t="n"/>
      <c r="AS14" s="28" t="n"/>
      <c r="AT14" s="28" t="n"/>
      <c r="AU14" s="28" t="n"/>
      <c r="AV14" s="28" t="n"/>
      <c r="AW14" s="28" t="n"/>
      <c r="AX14" s="28" t="n"/>
      <c r="AY14" s="28" t="n"/>
      <c r="AZ14" s="28" t="n"/>
      <c r="BA14" s="28" t="n"/>
      <c r="BB14" s="28" t="n"/>
      <c r="BC14" s="28" t="n"/>
      <c r="BD14" s="28" t="n"/>
      <c r="BE14" s="28" t="n"/>
      <c r="BF14" s="28" t="n"/>
      <c r="BG14" s="28" t="n"/>
      <c r="BH14" s="28" t="n"/>
      <c r="BI14" s="28" t="n"/>
      <c r="BJ14" s="28" t="n"/>
      <c r="BK14" s="28" t="n"/>
      <c r="BL14" s="28" t="n"/>
      <c r="BM14" s="28" t="n"/>
      <c r="BN14" s="28" t="n"/>
      <c r="BO14" s="28" t="n"/>
      <c r="BP14" s="28" t="n"/>
      <c r="BQ14" s="28" t="n"/>
    </row>
    <row r="15" ht="15.5" customFormat="1" customHeight="1" s="2">
      <c r="A15" s="26" t="inlineStr">
        <is>
          <t>1.1.02.729</t>
        </is>
      </c>
      <c r="B15" s="20" t="inlineStr">
        <is>
          <t>KJ-20260310-PREDICT</t>
        </is>
      </c>
      <c r="C15" s="20" t="inlineStr">
        <is>
          <t>KJ-20260310-PREDICT</t>
        </is>
      </c>
      <c r="D15" s="68" t="inlineStr">
        <is>
          <t>WO-ZZ00020224</t>
        </is>
      </c>
      <c r="E15" s="67" t="inlineStr">
        <is>
          <t>SUNKISS成人纸尿裤L码(15片*4包)B（整箱）</t>
        </is>
      </c>
      <c r="F15" t="inlineStr">
        <is>
          <t>L</t>
        </is>
      </c>
      <c r="G15" s="19" t="n">
        <v>15</v>
      </c>
      <c r="H15" s="19" t="n">
        <v>4</v>
      </c>
      <c r="I15" s="118" t="n"/>
      <c r="J15" s="117" t="n">
        <v>46157</v>
      </c>
      <c r="K15" s="19" t="n">
        <v>1000</v>
      </c>
      <c r="L15" s="26">
        <f>F15*G15*J15</f>
        <v/>
      </c>
      <c r="M15" s="26" t="n">
        <v>0</v>
      </c>
      <c r="N15" s="24" t="n"/>
      <c r="O15" s="24" t="n">
        <v>987</v>
      </c>
      <c r="P15" s="24" t="n">
        <v>13</v>
      </c>
      <c r="Q15" s="24" t="n"/>
      <c r="R15" s="24" t="n"/>
      <c r="S15" s="24" t="n"/>
      <c r="T15" s="24" t="n"/>
      <c r="U15" s="24" t="n"/>
      <c r="V15" s="24" t="n"/>
      <c r="W15" s="24" t="n"/>
      <c r="X15" s="24" t="n"/>
      <c r="Y15" s="24" t="n"/>
      <c r="Z15" s="24" t="n"/>
      <c r="AA15" s="24" t="n"/>
      <c r="AB15" s="24" t="n"/>
      <c r="AC15" s="24" t="n"/>
      <c r="AD15" s="24" t="n"/>
      <c r="AE15" s="24" t="n"/>
      <c r="AF15" s="24" t="n"/>
      <c r="AG15" s="24" t="n"/>
      <c r="AH15" s="24" t="n"/>
      <c r="AI15" s="24" t="n"/>
      <c r="AJ15" s="24" t="n"/>
      <c r="AK15" s="24" t="n"/>
      <c r="AL15" s="24" t="n"/>
      <c r="AM15" s="24" t="n"/>
      <c r="AN15" s="24" t="n"/>
      <c r="AO15" s="24" t="n"/>
      <c r="AP15" s="24" t="n"/>
      <c r="AQ15" s="24" t="n"/>
      <c r="AR15" s="24" t="n"/>
      <c r="AS15" s="24" t="n"/>
      <c r="AT15" s="24" t="n"/>
      <c r="AU15" s="24" t="n"/>
      <c r="AV15" s="24" t="n"/>
      <c r="AW15" s="24" t="n"/>
      <c r="AX15" s="24" t="n"/>
      <c r="AY15" s="24" t="n"/>
      <c r="AZ15" s="24" t="n"/>
      <c r="BA15" s="24" t="n"/>
      <c r="BB15" s="24" t="n"/>
      <c r="BC15" s="24" t="n"/>
      <c r="BD15" s="24" t="n"/>
      <c r="BE15" s="24" t="n"/>
      <c r="BF15" s="24" t="n"/>
      <c r="BG15" s="24" t="n"/>
      <c r="BH15" s="24" t="n"/>
      <c r="BI15" s="24" t="n"/>
      <c r="BJ15" s="24" t="n"/>
      <c r="BK15" s="24" t="n"/>
      <c r="BL15" s="24" t="n"/>
      <c r="BM15" s="24" t="n"/>
      <c r="BN15" s="24" t="n"/>
      <c r="BO15" s="24" t="n"/>
      <c r="BP15" s="24" t="n"/>
      <c r="BQ15" s="24" t="n"/>
    </row>
    <row r="16" ht="18" customHeight="1" s="91">
      <c r="A16" s="26" t="inlineStr">
        <is>
          <t>1.1.02.727</t>
        </is>
      </c>
      <c r="B16" s="20" t="inlineStr">
        <is>
          <t>KJ-20260310-PREDICT</t>
        </is>
      </c>
      <c r="C16" s="20" t="inlineStr">
        <is>
          <t>KJ-20260310-PREDICT</t>
        </is>
      </c>
      <c r="D16" s="68" t="inlineStr">
        <is>
          <t>WO-ZZ00020225</t>
        </is>
      </c>
      <c r="E16" s="67" t="inlineStr">
        <is>
          <t>SUNKISS夜用系列成人纸尿裤L码(12片*4包)B（整箱）</t>
        </is>
      </c>
      <c r="F16" t="inlineStr">
        <is>
          <t>L</t>
        </is>
      </c>
      <c r="G16" s="19" t="n">
        <v>12</v>
      </c>
      <c r="H16" s="19" t="n">
        <v>4</v>
      </c>
      <c r="I16" s="118" t="n"/>
      <c r="J16" s="117" t="n">
        <v>46157</v>
      </c>
      <c r="K16" s="19" t="n">
        <v>1000</v>
      </c>
      <c r="L16" s="26">
        <f>F16*G16*J16</f>
        <v/>
      </c>
      <c r="M16" s="26" t="n">
        <v>0</v>
      </c>
      <c r="N16" s="24" t="n"/>
      <c r="O16" s="24" t="n"/>
      <c r="P16" s="24" t="n">
        <v>1000</v>
      </c>
      <c r="Q16" s="24" t="n"/>
      <c r="R16" s="24" t="n"/>
      <c r="S16" s="24" t="n"/>
      <c r="T16" s="24" t="n"/>
      <c r="U16" s="24" t="n"/>
      <c r="V16" s="24" t="n"/>
      <c r="W16" s="24" t="n"/>
      <c r="X16" s="24" t="n"/>
      <c r="Y16" s="24" t="n"/>
      <c r="Z16" s="24" t="n"/>
      <c r="AA16" s="24" t="n"/>
      <c r="AB16" s="24" t="n"/>
      <c r="AC16" s="24" t="n"/>
      <c r="AD16" s="24" t="n"/>
      <c r="AE16" s="24" t="n"/>
      <c r="AF16" s="24" t="n"/>
      <c r="AG16" s="24" t="n"/>
      <c r="AH16" s="24" t="n"/>
      <c r="AI16" s="24" t="n"/>
      <c r="AJ16" s="24" t="n"/>
      <c r="AK16" s="24" t="n"/>
      <c r="AL16" s="24" t="n"/>
      <c r="AM16" s="24" t="n"/>
      <c r="AN16" s="24" t="n"/>
      <c r="AO16" s="24" t="n"/>
      <c r="AP16" s="24" t="n"/>
      <c r="AQ16" s="24" t="n"/>
      <c r="AR16" s="24" t="n"/>
      <c r="AS16" s="24" t="n"/>
      <c r="AT16" s="24" t="n"/>
      <c r="AU16" s="24" t="n"/>
      <c r="AV16" s="24" t="n"/>
      <c r="AW16" s="24" t="n"/>
      <c r="AX16" s="24" t="n"/>
      <c r="AY16" s="24" t="n"/>
      <c r="AZ16" s="24" t="n"/>
      <c r="BA16" s="24" t="n"/>
      <c r="BB16" s="24" t="n"/>
      <c r="BC16" s="24" t="n"/>
      <c r="BD16" s="24" t="n"/>
      <c r="BE16" s="24" t="n"/>
      <c r="BF16" s="24" t="n"/>
      <c r="BG16" s="24" t="n"/>
      <c r="BH16" s="24" t="n"/>
      <c r="BI16" s="24" t="n"/>
      <c r="BJ16" s="24" t="n"/>
      <c r="BK16" s="24" t="n"/>
      <c r="BL16" s="24" t="n"/>
      <c r="BM16" s="24" t="n"/>
      <c r="BN16" s="24" t="n"/>
      <c r="BO16" s="24" t="n"/>
      <c r="BP16" s="24" t="n"/>
      <c r="BQ16" s="24" t="n"/>
    </row>
    <row r="17" ht="17.5" customHeight="1" s="91">
      <c r="A17" s="32" t="inlineStr">
        <is>
          <t>1.1.03.352</t>
        </is>
      </c>
      <c r="B17" s="32" t="n"/>
      <c r="C17" s="32" t="inlineStr">
        <is>
          <t>NM-20260410002</t>
        </is>
      </c>
      <c r="D17" s="32" t="inlineStr">
        <is>
          <t>WO-ZZ00020553</t>
        </is>
      </c>
      <c r="E17" s="33" t="inlineStr">
        <is>
          <t>SUNKISS珍琦医用垫单（D型）XL码（10片装）</t>
        </is>
      </c>
      <c r="F17" t="inlineStr">
        <is>
          <t>XL</t>
        </is>
      </c>
      <c r="G17" s="32" t="n">
        <v>10</v>
      </c>
      <c r="H17" s="32" t="n">
        <v>12</v>
      </c>
      <c r="I17" s="119" t="n">
        <v>46122</v>
      </c>
      <c r="J17" s="119" t="n">
        <v>46152</v>
      </c>
      <c r="K17" s="32" t="n">
        <v>650</v>
      </c>
      <c r="L17" s="32">
        <f>F17*G17*J17</f>
        <v/>
      </c>
      <c r="M17" s="32" t="n">
        <v>0</v>
      </c>
      <c r="N17" s="28" t="n"/>
      <c r="O17" s="28" t="n"/>
      <c r="P17" s="28" t="n">
        <v>650</v>
      </c>
      <c r="Q17" s="28" t="n"/>
      <c r="R17" s="28" t="n"/>
      <c r="S17" s="28" t="n"/>
      <c r="T17" s="28" t="n"/>
      <c r="U17" s="28" t="n"/>
      <c r="V17" s="28" t="n"/>
      <c r="W17" s="28" t="n"/>
      <c r="X17" s="28" t="n"/>
      <c r="Y17" s="28" t="n"/>
      <c r="Z17" s="28" t="n"/>
      <c r="AA17" s="28" t="n"/>
      <c r="AB17" s="28" t="n"/>
      <c r="AC17" s="28" t="n"/>
      <c r="AD17" s="28" t="n"/>
      <c r="AE17" s="28" t="n"/>
      <c r="AF17" s="28" t="n"/>
      <c r="AG17" s="28" t="n"/>
      <c r="AH17" s="28" t="n"/>
      <c r="AI17" s="28" t="n"/>
      <c r="AJ17" s="28" t="n"/>
      <c r="AK17" s="28" t="n"/>
      <c r="AL17" s="28" t="n"/>
      <c r="AM17" s="28" t="n"/>
      <c r="AN17" s="28" t="n"/>
      <c r="AO17" s="28" t="n"/>
      <c r="AP17" s="28" t="n"/>
      <c r="AQ17" s="28" t="n"/>
      <c r="AR17" s="28" t="n"/>
      <c r="AS17" s="28" t="n"/>
      <c r="AT17" s="28" t="n"/>
      <c r="AU17" s="28" t="n"/>
      <c r="AV17" s="28" t="n"/>
      <c r="AW17" s="28" t="n"/>
      <c r="AX17" s="28" t="n"/>
      <c r="AY17" s="28" t="n"/>
      <c r="AZ17" s="28" t="n"/>
      <c r="BA17" s="28" t="n"/>
      <c r="BB17" s="28" t="n"/>
      <c r="BC17" s="28" t="n"/>
      <c r="BD17" s="28" t="n"/>
      <c r="BE17" s="28" t="n"/>
      <c r="BF17" s="28" t="n"/>
      <c r="BG17" s="28" t="n"/>
      <c r="BH17" s="28" t="n"/>
      <c r="BI17" s="28" t="n"/>
      <c r="BJ17" s="28" t="n"/>
      <c r="BK17" s="28" t="n"/>
      <c r="BL17" s="28" t="n"/>
      <c r="BM17" s="28" t="n"/>
      <c r="BN17" s="28" t="n"/>
      <c r="BO17" s="28" t="n"/>
      <c r="BP17" s="28" t="n"/>
      <c r="BQ17" s="28" t="n"/>
    </row>
    <row r="18" ht="18" customHeight="1" s="91">
      <c r="A18" s="35" t="inlineStr">
        <is>
          <t>1.1.03.341</t>
        </is>
      </c>
      <c r="B18" s="35" t="inlineStr">
        <is>
          <t>DS-20260402-001</t>
        </is>
      </c>
      <c r="C18" s="35" t="inlineStr">
        <is>
          <t>DS-20260402-001</t>
        </is>
      </c>
      <c r="D18" s="120" t="inlineStr">
        <is>
          <t>WO-ZZ00020480</t>
        </is>
      </c>
      <c r="E18" s="21" t="inlineStr">
        <is>
          <t>珍琦电商系列夜用型成人纸尿裤XL码（9片*6包）</t>
        </is>
      </c>
      <c r="F18" t="inlineStr">
        <is>
          <t>XL</t>
        </is>
      </c>
      <c r="G18" s="19" t="n">
        <v>9</v>
      </c>
      <c r="H18" s="19" t="n">
        <v>6</v>
      </c>
      <c r="I18" s="116" t="n">
        <v>46114</v>
      </c>
      <c r="J18" s="117" t="n">
        <v>46143</v>
      </c>
      <c r="K18" s="19" t="n">
        <v>800</v>
      </c>
      <c r="L18" s="19">
        <f>F18*G18*J18</f>
        <v/>
      </c>
      <c r="M18" s="19" t="n">
        <v>0</v>
      </c>
      <c r="N18" s="28" t="n"/>
      <c r="O18" s="28" t="n"/>
      <c r="P18" s="28" t="n">
        <v>94</v>
      </c>
      <c r="Q18" s="28" t="n">
        <v>706</v>
      </c>
      <c r="R18" s="28" t="n"/>
      <c r="S18" s="28" t="n"/>
      <c r="T18" s="28" t="n"/>
      <c r="U18" s="28" t="n"/>
      <c r="V18" s="28" t="n"/>
      <c r="W18" s="28" t="n"/>
      <c r="X18" s="28" t="n"/>
      <c r="Y18" s="28" t="n"/>
      <c r="Z18" s="28" t="n"/>
      <c r="AA18" s="28" t="n"/>
      <c r="AB18" s="28" t="n"/>
      <c r="AC18" s="28" t="n"/>
      <c r="AD18" s="28" t="n"/>
      <c r="AE18" s="28" t="n"/>
      <c r="AF18" s="28" t="n"/>
      <c r="AG18" s="28" t="n"/>
      <c r="AH18" s="28" t="n"/>
      <c r="AI18" s="28" t="n"/>
      <c r="AJ18" s="28" t="n"/>
      <c r="AK18" s="28" t="n"/>
      <c r="AL18" s="28" t="n"/>
      <c r="AM18" s="28" t="n"/>
      <c r="AN18" s="28" t="n"/>
      <c r="AO18" s="28" t="n"/>
      <c r="AP18" s="28" t="n"/>
      <c r="AQ18" s="28" t="n"/>
      <c r="AR18" s="28" t="n"/>
      <c r="AS18" s="28" t="n"/>
      <c r="AT18" s="28" t="n"/>
      <c r="AU18" s="28" t="n"/>
      <c r="AV18" s="28" t="n"/>
      <c r="AW18" s="28" t="n"/>
      <c r="AX18" s="28" t="n"/>
      <c r="AY18" s="28" t="n"/>
      <c r="AZ18" s="28" t="n"/>
      <c r="BA18" s="28" t="n"/>
      <c r="BB18" s="28" t="n"/>
      <c r="BC18" s="28" t="n"/>
      <c r="BD18" s="28" t="n"/>
      <c r="BE18" s="28" t="n"/>
      <c r="BF18" s="28" t="n"/>
      <c r="BG18" s="28" t="n"/>
      <c r="BH18" s="28" t="n"/>
      <c r="BI18" s="28" t="n"/>
      <c r="BJ18" s="28" t="n"/>
      <c r="BK18" s="28" t="n"/>
      <c r="BL18" s="28" t="n"/>
      <c r="BM18" s="28" t="n"/>
      <c r="BN18" s="28" t="n"/>
      <c r="BO18" s="28" t="n"/>
      <c r="BP18" s="28" t="n"/>
      <c r="BQ18" s="28" t="n"/>
    </row>
    <row r="19" ht="17" customHeight="1" s="91">
      <c r="A19" s="35" t="inlineStr">
        <is>
          <t>1.1.03.335</t>
        </is>
      </c>
      <c r="B19" s="35" t="n"/>
      <c r="C19" s="35" t="inlineStr">
        <is>
          <t>NM-202604290001</t>
        </is>
      </c>
      <c r="D19" s="35" t="inlineStr">
        <is>
          <t>WO-ZZ00020679</t>
        </is>
      </c>
      <c r="E19" s="21" t="inlineStr">
        <is>
          <t>珍琦SUNKISS增强系列成人纸尿裤XL码（10片*8包）</t>
        </is>
      </c>
      <c r="F19" t="inlineStr">
        <is>
          <t>XL</t>
        </is>
      </c>
      <c r="G19" s="19" t="n">
        <v>10</v>
      </c>
      <c r="H19" s="19" t="n">
        <v>8</v>
      </c>
      <c r="I19" s="116" t="n">
        <v>46141</v>
      </c>
      <c r="J19" s="117" t="n">
        <v>46160</v>
      </c>
      <c r="K19" s="19" t="n">
        <v>380</v>
      </c>
      <c r="L19" s="19">
        <f>F19*G19*J19</f>
        <v/>
      </c>
      <c r="M19" s="19" t="n">
        <v>0</v>
      </c>
      <c r="N19" s="28" t="n"/>
      <c r="O19" s="28" t="n"/>
      <c r="P19" s="28" t="n"/>
      <c r="Q19" s="28" t="n">
        <v>380</v>
      </c>
      <c r="R19" s="28" t="n"/>
      <c r="S19" s="28" t="n"/>
      <c r="T19" s="28" t="n"/>
      <c r="U19" s="28" t="n"/>
      <c r="V19" s="28" t="n"/>
      <c r="W19" s="28" t="n"/>
      <c r="X19" s="28" t="n"/>
      <c r="Y19" s="28" t="n"/>
      <c r="Z19" s="28" t="n"/>
      <c r="AA19" s="28" t="n"/>
      <c r="AB19" s="28" t="n"/>
      <c r="AC19" s="28" t="n"/>
      <c r="AD19" s="28" t="n"/>
      <c r="AE19" s="28" t="n"/>
      <c r="AF19" s="28" t="n"/>
      <c r="AG19" s="28" t="n"/>
      <c r="AH19" s="28" t="n"/>
      <c r="AI19" s="28" t="n"/>
      <c r="AJ19" s="28" t="n"/>
      <c r="AK19" s="28" t="n"/>
      <c r="AL19" s="28" t="n"/>
      <c r="AM19" s="28" t="n"/>
      <c r="AN19" s="28" t="n"/>
      <c r="AO19" s="28" t="n"/>
      <c r="AP19" s="28" t="n"/>
      <c r="AQ19" s="28" t="n"/>
      <c r="AR19" s="28" t="n"/>
      <c r="AS19" s="28" t="n"/>
      <c r="AT19" s="28" t="n"/>
      <c r="AU19" s="28" t="n"/>
      <c r="AV19" s="28" t="n"/>
      <c r="AW19" s="28" t="n"/>
      <c r="AX19" s="28" t="n"/>
      <c r="AY19" s="28" t="n"/>
      <c r="AZ19" s="28" t="n"/>
      <c r="BA19" s="28" t="n"/>
      <c r="BB19" s="28" t="n"/>
      <c r="BC19" s="28" t="n"/>
      <c r="BD19" s="28" t="n"/>
      <c r="BE19" s="28" t="n"/>
      <c r="BF19" s="28" t="n"/>
      <c r="BG19" s="28" t="n"/>
      <c r="BH19" s="28" t="n"/>
      <c r="BI19" s="28" t="n"/>
      <c r="BJ19" s="28" t="n"/>
      <c r="BK19" s="28" t="n"/>
      <c r="BL19" s="28" t="n"/>
      <c r="BM19" s="28" t="n"/>
      <c r="BN19" s="28" t="n"/>
      <c r="BO19" s="28" t="n"/>
      <c r="BP19" s="28" t="n"/>
      <c r="BQ19" s="28" t="n"/>
    </row>
    <row r="20" ht="17.5" customHeight="1" s="91">
      <c r="A20" s="35" t="inlineStr">
        <is>
          <t>1.1.05.302</t>
        </is>
      </c>
      <c r="B20" s="35" t="n"/>
      <c r="C20" s="35" t="n"/>
      <c r="D20" s="35" t="inlineStr">
        <is>
          <t>WO-ZZ00020680</t>
        </is>
      </c>
      <c r="E20" s="21" t="inlineStr">
        <is>
          <t>康宝成裤 XL</t>
        </is>
      </c>
      <c r="F20" t="inlineStr">
        <is>
          <t>XL</t>
        </is>
      </c>
      <c r="G20" s="19" t="n">
        <v>10</v>
      </c>
      <c r="H20" s="19" t="n">
        <v>10</v>
      </c>
      <c r="I20" s="116" t="n"/>
      <c r="J20" s="117" t="n"/>
      <c r="K20" s="19" t="n">
        <v>5000</v>
      </c>
      <c r="L20" s="19">
        <f>F20*G20*J20</f>
        <v/>
      </c>
      <c r="M20" s="19" t="n">
        <v>0</v>
      </c>
      <c r="N20" s="28" t="n"/>
      <c r="O20" s="28" t="n"/>
      <c r="P20" s="28" t="n"/>
      <c r="Q20" s="28" t="n">
        <v>633</v>
      </c>
      <c r="R20" s="28" t="n">
        <v>1479</v>
      </c>
      <c r="S20" s="28" t="n">
        <v>1479</v>
      </c>
      <c r="T20" s="28" t="n">
        <v>1409</v>
      </c>
      <c r="U20" s="28" t="n"/>
      <c r="V20" s="28" t="n"/>
      <c r="W20" s="28" t="n"/>
      <c r="X20" s="28" t="n"/>
      <c r="Y20" s="28" t="n"/>
      <c r="Z20" s="28" t="n"/>
      <c r="AA20" s="28" t="n"/>
      <c r="AB20" s="28" t="n"/>
      <c r="AC20" s="28" t="n"/>
      <c r="AD20" s="28" t="n"/>
      <c r="AE20" s="28" t="n"/>
      <c r="AF20" s="28" t="n"/>
      <c r="AG20" s="28" t="n"/>
      <c r="AH20" s="28" t="n"/>
      <c r="AI20" s="28" t="n"/>
      <c r="AJ20" s="28" t="n"/>
      <c r="AK20" s="28" t="n"/>
      <c r="AL20" s="28" t="n"/>
      <c r="AM20" s="28" t="n"/>
      <c r="AN20" s="28" t="n"/>
      <c r="AO20" s="28" t="n"/>
      <c r="AP20" s="28" t="n"/>
      <c r="AQ20" s="28" t="n"/>
      <c r="AR20" s="28" t="n"/>
      <c r="AS20" s="28" t="n"/>
      <c r="AT20" s="28" t="n"/>
      <c r="AU20" s="28" t="n"/>
      <c r="AV20" s="28" t="n"/>
      <c r="AW20" s="28" t="n"/>
      <c r="AX20" s="28" t="n"/>
      <c r="AY20" s="28" t="n"/>
      <c r="AZ20" s="28" t="n"/>
      <c r="BA20" s="28" t="n"/>
      <c r="BB20" s="28" t="n"/>
      <c r="BC20" s="28" t="n"/>
      <c r="BD20" s="28" t="n"/>
      <c r="BE20" s="28" t="n"/>
      <c r="BF20" s="28" t="n"/>
      <c r="BG20" s="28" t="n"/>
      <c r="BH20" s="28" t="n"/>
      <c r="BI20" s="28" t="n"/>
      <c r="BJ20" s="28" t="n"/>
      <c r="BK20" s="28" t="n"/>
      <c r="BL20" s="28" t="n"/>
      <c r="BM20" s="28" t="n"/>
      <c r="BN20" s="28" t="n"/>
      <c r="BO20" s="28" t="n"/>
      <c r="BP20" s="28" t="n"/>
      <c r="BQ20" s="28" t="n"/>
    </row>
    <row r="21" ht="16" customHeight="1" s="91">
      <c r="A21" s="35" t="inlineStr">
        <is>
          <t>1.1.02.723</t>
        </is>
      </c>
      <c r="B21" s="35" t="inlineStr">
        <is>
          <t>CR269027</t>
        </is>
      </c>
      <c r="C21" s="79" t="inlineStr">
        <is>
          <t>CR269027</t>
        </is>
      </c>
      <c r="D21" s="120" t="inlineStr">
        <is>
          <t>WO-ZZ00020481</t>
        </is>
      </c>
      <c r="E21" s="21" t="inlineStr">
        <is>
          <t>云柔成人纸尿裤L码(产品标注XL码)(Safein)(10片*12包) (CU000199)</t>
        </is>
      </c>
      <c r="F21" t="inlineStr">
        <is>
          <t>XL</t>
        </is>
      </c>
      <c r="G21" s="19" t="n">
        <v>10</v>
      </c>
      <c r="H21" s="19" t="n">
        <v>12</v>
      </c>
      <c r="I21" s="116" t="n">
        <v>46112</v>
      </c>
      <c r="J21" s="117" t="n">
        <v>46174</v>
      </c>
      <c r="K21" s="19" t="n">
        <v>530</v>
      </c>
      <c r="L21" s="19">
        <f>F21*G21*J21</f>
        <v/>
      </c>
      <c r="M21" s="19" t="n">
        <v>0</v>
      </c>
      <c r="N21" s="28" t="n"/>
      <c r="O21" s="28" t="n"/>
      <c r="P21" s="28" t="n"/>
      <c r="Q21" s="28" t="n"/>
      <c r="R21" s="28" t="n"/>
      <c r="S21" s="28" t="n"/>
      <c r="T21" s="28" t="n"/>
      <c r="U21" s="28" t="n">
        <v>530</v>
      </c>
      <c r="V21" s="28" t="n"/>
      <c r="W21" s="28" t="n"/>
      <c r="X21" s="28" t="n"/>
      <c r="Y21" s="28" t="n"/>
      <c r="Z21" s="28" t="n"/>
      <c r="AA21" s="28" t="n"/>
      <c r="AB21" s="28" t="n"/>
      <c r="AC21" s="28" t="n"/>
      <c r="AD21" s="28" t="n"/>
      <c r="AE21" s="28" t="n"/>
      <c r="AF21" s="28" t="n"/>
      <c r="AG21" s="28" t="n"/>
      <c r="AH21" s="28" t="n"/>
      <c r="AI21" s="28" t="n"/>
      <c r="AJ21" s="28" t="n"/>
      <c r="AK21" s="28" t="n"/>
      <c r="AL21" s="28" t="n"/>
      <c r="AM21" s="28" t="n"/>
      <c r="AN21" s="28" t="n"/>
      <c r="AO21" s="28" t="n"/>
      <c r="AP21" s="28" t="n"/>
      <c r="AQ21" s="28" t="n"/>
      <c r="AR21" s="28" t="n"/>
      <c r="AS21" s="28" t="n"/>
      <c r="AT21" s="28" t="n"/>
      <c r="AU21" s="28" t="n"/>
      <c r="AV21" s="28" t="n"/>
      <c r="AW21" s="28" t="n"/>
      <c r="AX21" s="28" t="n"/>
      <c r="AY21" s="28" t="n"/>
      <c r="AZ21" s="28" t="n"/>
      <c r="BA21" s="28" t="n"/>
      <c r="BB21" s="28" t="n"/>
      <c r="BC21" s="28" t="n"/>
      <c r="BD21" s="28" t="n"/>
      <c r="BE21" s="28" t="n"/>
      <c r="BF21" s="28" t="n"/>
      <c r="BG21" s="28" t="n"/>
      <c r="BH21" s="28" t="n"/>
      <c r="BI21" s="28" t="n"/>
      <c r="BJ21" s="28" t="n"/>
      <c r="BK21" s="28" t="n"/>
      <c r="BL21" s="28" t="n"/>
      <c r="BM21" s="28" t="n"/>
      <c r="BN21" s="28" t="n"/>
      <c r="BO21" s="28" t="n"/>
      <c r="BP21" s="28" t="n"/>
      <c r="BQ21" s="28" t="n"/>
    </row>
    <row r="22" ht="17.5" customHeight="1" s="91">
      <c r="A22" s="35" t="inlineStr">
        <is>
          <t>1.1.02.723</t>
        </is>
      </c>
      <c r="B22" s="35" t="inlineStr">
        <is>
          <t>CR269028</t>
        </is>
      </c>
      <c r="C22" s="79" t="inlineStr">
        <is>
          <t>CR269028</t>
        </is>
      </c>
      <c r="D22" s="120" t="inlineStr">
        <is>
          <t>WO-ZZ00020482</t>
        </is>
      </c>
      <c r="E22" s="21" t="inlineStr">
        <is>
          <t>云柔成人纸尿裤L码(产品标注XL码)(Safein)(10片*12包) (CU000199)</t>
        </is>
      </c>
      <c r="F22" t="inlineStr">
        <is>
          <t>XL</t>
        </is>
      </c>
      <c r="G22" s="19" t="n">
        <v>10</v>
      </c>
      <c r="H22" s="19" t="n">
        <v>12</v>
      </c>
      <c r="I22" s="116" t="n">
        <v>46112</v>
      </c>
      <c r="J22" s="117" t="n">
        <v>46174</v>
      </c>
      <c r="K22" s="19" t="n">
        <v>280</v>
      </c>
      <c r="L22" s="19">
        <f>F22*G22*J22</f>
        <v/>
      </c>
      <c r="M22" s="19" t="n">
        <v>0</v>
      </c>
      <c r="N22" s="28" t="n"/>
      <c r="O22" s="28" t="n"/>
      <c r="P22" s="28" t="n"/>
      <c r="Q22" s="28" t="n"/>
      <c r="R22" s="28" t="n"/>
      <c r="S22" s="28" t="n"/>
      <c r="T22" s="28" t="n"/>
      <c r="U22" s="28" t="n">
        <v>280</v>
      </c>
      <c r="V22" s="28" t="n"/>
      <c r="W22" s="28" t="n"/>
      <c r="X22" s="28" t="n"/>
      <c r="Y22" s="28" t="n"/>
      <c r="Z22" s="28" t="n"/>
      <c r="AA22" s="28" t="n"/>
      <c r="AB22" s="28" t="n"/>
      <c r="AC22" s="28" t="n"/>
      <c r="AD22" s="28" t="n"/>
      <c r="AE22" s="28" t="n"/>
      <c r="AF22" s="28" t="n"/>
      <c r="AG22" s="28" t="n"/>
      <c r="AH22" s="28" t="n"/>
      <c r="AI22" s="28" t="n"/>
      <c r="AJ22" s="28" t="n"/>
      <c r="AK22" s="28" t="n"/>
      <c r="AL22" s="28" t="n"/>
      <c r="AM22" s="28" t="n"/>
      <c r="AN22" s="28" t="n"/>
      <c r="AO22" s="28" t="n"/>
      <c r="AP22" s="28" t="n"/>
      <c r="AQ22" s="28" t="n"/>
      <c r="AR22" s="28" t="n"/>
      <c r="AS22" s="28" t="n"/>
      <c r="AT22" s="28" t="n"/>
      <c r="AU22" s="28" t="n"/>
      <c r="AV22" s="28" t="n"/>
      <c r="AW22" s="28" t="n"/>
      <c r="AX22" s="28" t="n"/>
      <c r="AY22" s="28" t="n"/>
      <c r="AZ22" s="28" t="n"/>
      <c r="BA22" s="28" t="n"/>
      <c r="BB22" s="28" t="n"/>
      <c r="BC22" s="28" t="n"/>
      <c r="BD22" s="28" t="n"/>
      <c r="BE22" s="28" t="n"/>
      <c r="BF22" s="28" t="n"/>
      <c r="BG22" s="28" t="n"/>
      <c r="BH22" s="28" t="n"/>
      <c r="BI22" s="28" t="n"/>
      <c r="BJ22" s="28" t="n"/>
      <c r="BK22" s="28" t="n"/>
      <c r="BL22" s="28" t="n"/>
      <c r="BM22" s="28" t="n"/>
      <c r="BN22" s="28" t="n"/>
      <c r="BO22" s="28" t="n"/>
      <c r="BP22" s="28" t="n"/>
      <c r="BQ22" s="28" t="n"/>
    </row>
    <row r="23" ht="15.5" customHeight="1" s="91">
      <c r="A23" s="35" t="inlineStr">
        <is>
          <t>1.1.01.315</t>
        </is>
      </c>
      <c r="B23" s="35" t="n"/>
      <c r="C23" s="35" t="inlineStr">
        <is>
          <t>CR269035</t>
        </is>
      </c>
      <c r="D23" s="35" t="inlineStr">
        <is>
          <t>WO-ZZ00020681</t>
        </is>
      </c>
      <c r="E23" s="21" t="inlineStr">
        <is>
          <t>蓝雀成人纸尿裤1211M码(10片*12包) (CU000198)</t>
        </is>
      </c>
      <c r="F23" t="inlineStr">
        <is>
          <t>M</t>
        </is>
      </c>
      <c r="G23" s="19" t="n">
        <v>10</v>
      </c>
      <c r="H23" s="19" t="n">
        <v>12</v>
      </c>
      <c r="I23" s="116" t="n">
        <v>46136</v>
      </c>
      <c r="J23" s="117" t="n">
        <v>46168</v>
      </c>
      <c r="K23" s="19" t="n">
        <v>97</v>
      </c>
      <c r="L23" s="19">
        <f>F23*G23*J23</f>
        <v/>
      </c>
      <c r="M23" s="19" t="n">
        <v>0</v>
      </c>
      <c r="N23" s="28" t="n"/>
      <c r="O23" s="28" t="n"/>
      <c r="P23" s="28" t="n"/>
      <c r="Q23" s="28" t="n"/>
      <c r="R23" s="28" t="n"/>
      <c r="S23" s="28" t="n"/>
      <c r="T23" s="28" t="n"/>
      <c r="U23" s="28" t="n">
        <v>97</v>
      </c>
      <c r="V23" s="28" t="n"/>
      <c r="W23" s="28" t="n"/>
      <c r="X23" s="28" t="n"/>
      <c r="Y23" s="28" t="n"/>
      <c r="Z23" s="28" t="n"/>
      <c r="AA23" s="28" t="n"/>
      <c r="AB23" s="28" t="n"/>
      <c r="AC23" s="28" t="n"/>
      <c r="AD23" s="28" t="n"/>
      <c r="AE23" s="28" t="n"/>
      <c r="AF23" s="28" t="n"/>
      <c r="AG23" s="28" t="n"/>
      <c r="AH23" s="28" t="n"/>
      <c r="AI23" s="28" t="n"/>
      <c r="AJ23" s="28" t="n"/>
      <c r="AK23" s="28" t="n"/>
      <c r="AL23" s="28" t="n"/>
      <c r="AM23" s="28" t="n"/>
      <c r="AN23" s="28" t="n"/>
      <c r="AO23" s="28" t="n"/>
      <c r="AP23" s="28" t="n"/>
      <c r="AQ23" s="28" t="n"/>
      <c r="AR23" s="28" t="n"/>
      <c r="AS23" s="28" t="n"/>
      <c r="AT23" s="28" t="n"/>
      <c r="AU23" s="28" t="n"/>
      <c r="AV23" s="28" t="n"/>
      <c r="AW23" s="28" t="n"/>
      <c r="AX23" s="28" t="n"/>
      <c r="AY23" s="28" t="n"/>
      <c r="AZ23" s="28" t="n"/>
      <c r="BA23" s="28" t="n"/>
      <c r="BB23" s="28" t="n"/>
      <c r="BC23" s="28" t="n"/>
      <c r="BD23" s="28" t="n"/>
      <c r="BE23" s="28" t="n"/>
      <c r="BF23" s="28" t="n"/>
      <c r="BG23" s="28" t="n"/>
      <c r="BH23" s="28" t="n"/>
      <c r="BI23" s="28" t="n"/>
      <c r="BJ23" s="28" t="n"/>
      <c r="BK23" s="28" t="n"/>
      <c r="BL23" s="28" t="n"/>
      <c r="BM23" s="28" t="n"/>
      <c r="BN23" s="28" t="n"/>
      <c r="BO23" s="28" t="n"/>
      <c r="BP23" s="28" t="n"/>
      <c r="BQ23" s="28" t="n"/>
    </row>
    <row r="24" ht="15.5" customHeight="1" s="91">
      <c r="A24" s="19" t="inlineStr">
        <is>
          <t>1.1.01.673</t>
        </is>
      </c>
      <c r="B24" s="19" t="n"/>
      <c r="C24" s="19" t="inlineStr">
        <is>
          <t>NM-20260203-001</t>
        </is>
      </c>
      <c r="D24" s="19" t="inlineStr">
        <is>
          <t>WO-ZZ00020227</t>
        </is>
      </c>
      <c r="E24" s="21" t="inlineStr">
        <is>
          <t>贴静舒爽系列成人纸尿裤M码（10片*12包）</t>
        </is>
      </c>
      <c r="F24" t="inlineStr">
        <is>
          <t>M</t>
        </is>
      </c>
      <c r="G24" s="19" t="n">
        <v>10</v>
      </c>
      <c r="H24" s="19" t="n">
        <v>12</v>
      </c>
      <c r="I24" s="116" t="n">
        <v>46056</v>
      </c>
      <c r="J24" s="116" t="n">
        <v>46096</v>
      </c>
      <c r="K24" s="19" t="n">
        <v>100</v>
      </c>
      <c r="L24" s="19">
        <f>F24*G24*J24</f>
        <v/>
      </c>
      <c r="M24" s="26" t="n">
        <v>0</v>
      </c>
      <c r="N24" s="28" t="n"/>
      <c r="O24" s="28" t="n"/>
      <c r="P24" s="28" t="n"/>
      <c r="Q24" s="28" t="n"/>
      <c r="R24" s="28" t="n"/>
      <c r="S24" s="28" t="n"/>
      <c r="T24" s="28" t="n"/>
      <c r="U24" s="28" t="n">
        <v>100</v>
      </c>
      <c r="V24" s="28" t="n"/>
      <c r="W24" s="28" t="n"/>
      <c r="X24" s="28" t="n"/>
      <c r="Y24" s="28" t="n"/>
      <c r="Z24" s="28" t="n"/>
      <c r="AA24" s="28" t="n"/>
      <c r="AB24" s="28" t="n"/>
      <c r="AC24" s="28" t="n"/>
      <c r="AD24" s="28" t="n"/>
      <c r="AE24" s="28" t="n"/>
      <c r="AF24" s="28" t="n"/>
      <c r="AG24" s="28" t="n"/>
      <c r="AH24" s="28" t="n"/>
      <c r="AI24" s="28" t="n"/>
      <c r="AJ24" s="28" t="n"/>
      <c r="AK24" s="28" t="n"/>
      <c r="AL24" s="28" t="n"/>
      <c r="AM24" s="28" t="n"/>
      <c r="AN24" s="28" t="n"/>
      <c r="AO24" s="28" t="n"/>
      <c r="AP24" s="28" t="n"/>
      <c r="AQ24" s="28" t="n"/>
      <c r="AR24" s="28" t="n"/>
      <c r="AS24" s="28" t="n"/>
      <c r="AT24" s="28" t="n"/>
      <c r="AU24" s="28" t="n"/>
      <c r="AV24" s="28" t="n"/>
      <c r="AW24" s="28" t="n"/>
      <c r="AX24" s="28" t="n"/>
      <c r="AY24" s="28" t="n"/>
      <c r="AZ24" s="28" t="n"/>
      <c r="BA24" s="28" t="n"/>
      <c r="BB24" s="28" t="n"/>
      <c r="BC24" s="28" t="n"/>
      <c r="BD24" s="28" t="n"/>
      <c r="BE24" s="28" t="n"/>
      <c r="BF24" s="28" t="n"/>
      <c r="BG24" s="28" t="n"/>
      <c r="BH24" s="28" t="n"/>
      <c r="BI24" s="28" t="n"/>
      <c r="BJ24" s="28" t="n"/>
      <c r="BK24" s="28" t="n"/>
      <c r="BL24" s="28" t="n"/>
      <c r="BM24" s="28" t="n"/>
      <c r="BN24" s="28" t="n"/>
      <c r="BO24" s="28" t="n"/>
      <c r="BP24" s="28" t="n"/>
      <c r="BQ24" s="28" t="n"/>
    </row>
    <row r="25" ht="14" customHeight="1" s="91">
      <c r="A25" s="19" t="inlineStr">
        <is>
          <t>1.1.01.673</t>
        </is>
      </c>
      <c r="B25" s="19" t="n"/>
      <c r="C25" s="19" t="inlineStr">
        <is>
          <t>NM-20260209-001</t>
        </is>
      </c>
      <c r="D25" s="19" t="inlineStr">
        <is>
          <t>WO-ZZ00020033</t>
        </is>
      </c>
      <c r="E25" s="21" t="inlineStr">
        <is>
          <t>贴静舒爽系列成人纸尿裤M码（10片*12包）</t>
        </is>
      </c>
      <c r="F25" t="inlineStr">
        <is>
          <t>M</t>
        </is>
      </c>
      <c r="G25" s="19" t="n">
        <v>10</v>
      </c>
      <c r="H25" s="19" t="n">
        <v>8</v>
      </c>
      <c r="I25" s="116" t="n">
        <v>46059</v>
      </c>
      <c r="J25" s="116" t="n">
        <v>46109</v>
      </c>
      <c r="K25" s="19" t="n">
        <v>500</v>
      </c>
      <c r="L25" s="19">
        <f>F25*G25*J25</f>
        <v/>
      </c>
      <c r="M25" s="26" t="n">
        <v>0</v>
      </c>
      <c r="N25" s="28" t="n"/>
      <c r="O25" s="28" t="n"/>
      <c r="P25" s="28" t="n"/>
      <c r="Q25" s="28" t="n"/>
      <c r="R25" s="28" t="n"/>
      <c r="S25" s="28" t="n"/>
      <c r="T25" s="28" t="n"/>
      <c r="U25" s="28" t="n">
        <v>238</v>
      </c>
      <c r="V25" s="28" t="n">
        <v>262</v>
      </c>
      <c r="W25" s="28" t="n"/>
      <c r="X25" s="28" t="n"/>
      <c r="Y25" s="28" t="n"/>
      <c r="Z25" s="28" t="n"/>
      <c r="AA25" s="28" t="n"/>
      <c r="AB25" s="28" t="n"/>
      <c r="AC25" s="28" t="n"/>
      <c r="AD25" s="28" t="n"/>
      <c r="AE25" s="28" t="n"/>
      <c r="AF25" s="28" t="n"/>
      <c r="AG25" s="28" t="n"/>
      <c r="AH25" s="28" t="n"/>
      <c r="AI25" s="28" t="n"/>
      <c r="AJ25" s="28" t="n"/>
      <c r="AK25" s="28" t="n"/>
      <c r="AL25" s="28" t="n"/>
      <c r="AM25" s="28" t="n"/>
      <c r="AN25" s="28" t="n"/>
      <c r="AO25" s="28" t="n"/>
      <c r="AP25" s="28" t="n"/>
      <c r="AQ25" s="28" t="n"/>
      <c r="AR25" s="28" t="n"/>
      <c r="AS25" s="28" t="n"/>
      <c r="AT25" s="28" t="n"/>
      <c r="AU25" s="28" t="n"/>
      <c r="AV25" s="28" t="n"/>
      <c r="AW25" s="28" t="n"/>
      <c r="AX25" s="28" t="n"/>
      <c r="AY25" s="28" t="n"/>
      <c r="AZ25" s="28" t="n"/>
      <c r="BA25" s="28" t="n"/>
      <c r="BB25" s="28" t="n"/>
      <c r="BC25" s="28" t="n"/>
      <c r="BD25" s="28" t="n"/>
      <c r="BE25" s="28" t="n"/>
      <c r="BF25" s="28" t="n"/>
      <c r="BG25" s="28" t="n"/>
      <c r="BH25" s="28" t="n"/>
      <c r="BI25" s="28" t="n"/>
      <c r="BJ25" s="28" t="n"/>
      <c r="BK25" s="28" t="n"/>
      <c r="BL25" s="28" t="n"/>
      <c r="BM25" s="28" t="n"/>
      <c r="BN25" s="28" t="n"/>
      <c r="BO25" s="28" t="n"/>
      <c r="BP25" s="28" t="n"/>
      <c r="BQ25" s="28" t="n"/>
    </row>
    <row r="26" ht="16" customHeight="1" s="91">
      <c r="A26" s="19" t="inlineStr">
        <is>
          <t>1.1.01.674</t>
        </is>
      </c>
      <c r="B26" s="19" t="n"/>
      <c r="C26" s="19" t="inlineStr">
        <is>
          <t>NM-20260203-001</t>
        </is>
      </c>
      <c r="D26" s="19" t="inlineStr">
        <is>
          <t>WO-ZZ00020044</t>
        </is>
      </c>
      <c r="E26" s="21" t="inlineStr">
        <is>
          <t>珍琦SUNKISS增强系列成人纸尿裤M码（10片*8包）</t>
        </is>
      </c>
      <c r="F26" t="inlineStr">
        <is>
          <t>M</t>
        </is>
      </c>
      <c r="G26" s="19" t="n">
        <v>10</v>
      </c>
      <c r="H26" s="19" t="n">
        <v>8</v>
      </c>
      <c r="I26" s="116" t="n">
        <v>46056</v>
      </c>
      <c r="J26" s="116" t="n">
        <v>46106</v>
      </c>
      <c r="K26" s="19" t="n">
        <v>600</v>
      </c>
      <c r="L26" s="19">
        <f>F26*G26*J26</f>
        <v/>
      </c>
      <c r="M26" s="26" t="n">
        <v>0</v>
      </c>
      <c r="N26" s="28" t="n"/>
      <c r="O26" s="28" t="n"/>
      <c r="P26" s="28" t="n"/>
      <c r="Q26" s="28" t="n"/>
      <c r="R26" s="28" t="n"/>
      <c r="S26" s="28" t="n"/>
      <c r="T26" s="28" t="n"/>
      <c r="U26" s="28" t="n"/>
      <c r="V26" s="28" t="n">
        <v>600</v>
      </c>
      <c r="W26" s="28" t="n"/>
      <c r="X26" s="28" t="n"/>
      <c r="Y26" s="28" t="n"/>
      <c r="Z26" s="28" t="n"/>
      <c r="AA26" s="28" t="n"/>
      <c r="AB26" s="28" t="n"/>
      <c r="AC26" s="28" t="n"/>
      <c r="AD26" s="28" t="n"/>
      <c r="AE26" s="28" t="n"/>
      <c r="AF26" s="28" t="n"/>
      <c r="AG26" s="28" t="n"/>
      <c r="AH26" s="28" t="n"/>
      <c r="AI26" s="28" t="n"/>
      <c r="AJ26" s="28" t="n"/>
      <c r="AK26" s="28" t="n"/>
      <c r="AL26" s="28" t="n"/>
      <c r="AM26" s="28" t="n"/>
      <c r="AN26" s="28" t="n"/>
      <c r="AO26" s="28" t="n"/>
      <c r="AP26" s="28" t="n"/>
      <c r="AQ26" s="28" t="n"/>
      <c r="AR26" s="28" t="n"/>
      <c r="AS26" s="28" t="n"/>
      <c r="AT26" s="28" t="n"/>
      <c r="AU26" s="28" t="n"/>
      <c r="AV26" s="28" t="n"/>
      <c r="AW26" s="28" t="n"/>
      <c r="AX26" s="28" t="n"/>
      <c r="AY26" s="28" t="n"/>
      <c r="AZ26" s="28" t="n"/>
      <c r="BA26" s="28" t="n"/>
      <c r="BB26" s="28" t="n"/>
      <c r="BC26" s="28" t="n"/>
      <c r="BD26" s="28" t="n"/>
      <c r="BE26" s="28" t="n"/>
      <c r="BF26" s="28" t="n"/>
      <c r="BG26" s="28" t="n"/>
      <c r="BH26" s="28" t="n"/>
      <c r="BI26" s="28" t="n"/>
      <c r="BJ26" s="28" t="n"/>
      <c r="BK26" s="28" t="n"/>
      <c r="BL26" s="28" t="n"/>
      <c r="BM26" s="28" t="n"/>
      <c r="BN26" s="28" t="n"/>
      <c r="BO26" s="28" t="n"/>
      <c r="BP26" s="28" t="n"/>
      <c r="BQ26" s="28" t="n"/>
    </row>
    <row r="27" ht="17.5" customHeight="1" s="91">
      <c r="A27" s="35" t="inlineStr">
        <is>
          <t>1.1.02.319</t>
        </is>
      </c>
      <c r="B27" s="35" t="n"/>
      <c r="C27" s="35" t="inlineStr">
        <is>
          <t>CR269035</t>
        </is>
      </c>
      <c r="D27" s="35" t="inlineStr">
        <is>
          <t>WO-ZZ00020682</t>
        </is>
      </c>
      <c r="E27" s="21" t="inlineStr">
        <is>
          <t>蓝雀成人纸尿裤1102L码(10片*12包) (CU000198)</t>
        </is>
      </c>
      <c r="F27" t="inlineStr">
        <is>
          <t>L</t>
        </is>
      </c>
      <c r="G27" s="19" t="n">
        <v>10</v>
      </c>
      <c r="H27" s="19" t="n">
        <v>12</v>
      </c>
      <c r="I27" s="116" t="n">
        <v>46136</v>
      </c>
      <c r="J27" s="117" t="n">
        <v>46168</v>
      </c>
      <c r="K27" s="19" t="n">
        <v>300</v>
      </c>
      <c r="L27" s="19">
        <f>F27*G27*J27</f>
        <v/>
      </c>
      <c r="M27" s="19" t="n">
        <v>0</v>
      </c>
      <c r="N27" s="28" t="n"/>
      <c r="O27" s="28" t="n"/>
      <c r="P27" s="28" t="n"/>
      <c r="Q27" s="28" t="n"/>
      <c r="R27" s="28" t="n"/>
      <c r="S27" s="28" t="n"/>
      <c r="T27" s="28" t="n"/>
      <c r="U27" s="28" t="n"/>
      <c r="V27" s="28" t="n">
        <v>300</v>
      </c>
      <c r="W27" s="28" t="n"/>
      <c r="X27" s="28" t="n"/>
      <c r="Y27" s="28" t="n"/>
      <c r="Z27" s="28" t="n"/>
      <c r="AA27" s="28" t="n"/>
      <c r="AB27" s="28" t="n"/>
      <c r="AC27" s="28" t="n"/>
      <c r="AD27" s="28" t="n"/>
      <c r="AE27" s="28" t="n"/>
      <c r="AF27" s="28" t="n"/>
      <c r="AG27" s="28" t="n"/>
      <c r="AH27" s="28" t="n"/>
      <c r="AI27" s="28" t="n"/>
      <c r="AJ27" s="28" t="n"/>
      <c r="AK27" s="28" t="n"/>
      <c r="AL27" s="28" t="n"/>
      <c r="AM27" s="28" t="n"/>
      <c r="AN27" s="28" t="n"/>
      <c r="AO27" s="28" t="n"/>
      <c r="AP27" s="28" t="n"/>
      <c r="AQ27" s="28" t="n"/>
      <c r="AR27" s="28" t="n"/>
      <c r="AS27" s="28" t="n"/>
      <c r="AT27" s="28" t="n"/>
      <c r="AU27" s="28" t="n"/>
      <c r="AV27" s="28" t="n"/>
      <c r="AW27" s="28" t="n"/>
      <c r="AX27" s="28" t="n"/>
      <c r="AY27" s="28" t="n"/>
      <c r="AZ27" s="28" t="n"/>
      <c r="BA27" s="28" t="n"/>
      <c r="BB27" s="28" t="n"/>
      <c r="BC27" s="28" t="n"/>
      <c r="BD27" s="28" t="n"/>
      <c r="BE27" s="28" t="n"/>
      <c r="BF27" s="28" t="n"/>
      <c r="BG27" s="28" t="n"/>
      <c r="BH27" s="28" t="n"/>
      <c r="BI27" s="28" t="n"/>
      <c r="BJ27" s="28" t="n"/>
      <c r="BK27" s="28" t="n"/>
      <c r="BL27" s="28" t="n"/>
      <c r="BM27" s="28" t="n"/>
      <c r="BN27" s="28" t="n"/>
      <c r="BO27" s="28" t="n"/>
      <c r="BP27" s="28" t="n"/>
      <c r="BQ27" s="28" t="n"/>
    </row>
    <row r="28" ht="17.5" customHeight="1" s="91">
      <c r="A28" s="35" t="inlineStr">
        <is>
          <t>1.1.01.700</t>
        </is>
      </c>
      <c r="B28" s="35" t="inlineStr">
        <is>
          <t>CR269028</t>
        </is>
      </c>
      <c r="C28" s="79" t="inlineStr">
        <is>
          <t>CR269028</t>
        </is>
      </c>
      <c r="D28" s="120" t="inlineStr">
        <is>
          <t>WO-ZZ00020483</t>
        </is>
      </c>
      <c r="E28" s="21" t="inlineStr">
        <is>
          <t>云柔成人纸尿裤M码(产品标注L码)(Safein)(10片*12包) (CU000199)</t>
        </is>
      </c>
      <c r="F28" t="inlineStr">
        <is>
          <t>L</t>
        </is>
      </c>
      <c r="G28" s="19" t="n">
        <v>10</v>
      </c>
      <c r="H28" s="19" t="n">
        <v>12</v>
      </c>
      <c r="I28" s="116" t="n">
        <v>46112</v>
      </c>
      <c r="J28" s="117" t="n">
        <v>46174</v>
      </c>
      <c r="K28" s="19" t="n">
        <v>90</v>
      </c>
      <c r="L28" s="19">
        <f>F28*G28*J28</f>
        <v/>
      </c>
      <c r="M28" s="19" t="n">
        <v>0</v>
      </c>
      <c r="N28" s="28" t="n"/>
      <c r="O28" s="28" t="n"/>
      <c r="P28" s="28" t="n"/>
      <c r="Q28" s="28" t="n"/>
      <c r="R28" s="28" t="n"/>
      <c r="S28" s="28" t="n"/>
      <c r="T28" s="28" t="n"/>
      <c r="U28" s="28" t="n"/>
      <c r="V28" s="28" t="n">
        <v>90</v>
      </c>
      <c r="W28" s="28" t="n"/>
      <c r="X28" s="28" t="n"/>
      <c r="Y28" s="28" t="n"/>
      <c r="Z28" s="28" t="n"/>
      <c r="AA28" s="28" t="n"/>
      <c r="AB28" s="28" t="n"/>
      <c r="AC28" s="28" t="n"/>
      <c r="AD28" s="28" t="n"/>
      <c r="AE28" s="28" t="n"/>
      <c r="AF28" s="28" t="n"/>
      <c r="AG28" s="28" t="n"/>
      <c r="AH28" s="28" t="n"/>
      <c r="AI28" s="28" t="n"/>
      <c r="AJ28" s="28" t="n"/>
      <c r="AK28" s="28" t="n"/>
      <c r="AL28" s="28" t="n"/>
      <c r="AM28" s="28" t="n"/>
      <c r="AN28" s="28" t="n"/>
      <c r="AO28" s="28" t="n"/>
      <c r="AP28" s="28" t="n"/>
      <c r="AQ28" s="28" t="n"/>
      <c r="AR28" s="28" t="n"/>
      <c r="AS28" s="28" t="n"/>
      <c r="AT28" s="28" t="n"/>
      <c r="AU28" s="28" t="n"/>
      <c r="AV28" s="28" t="n"/>
      <c r="AW28" s="28" t="n"/>
      <c r="AX28" s="28" t="n"/>
      <c r="AY28" s="28" t="n"/>
      <c r="AZ28" s="28" t="n"/>
      <c r="BA28" s="28" t="n"/>
      <c r="BB28" s="28" t="n"/>
      <c r="BC28" s="28" t="n"/>
      <c r="BD28" s="28" t="n"/>
      <c r="BE28" s="28" t="n"/>
      <c r="BF28" s="28" t="n"/>
      <c r="BG28" s="28" t="n"/>
      <c r="BH28" s="28" t="n"/>
      <c r="BI28" s="28" t="n"/>
      <c r="BJ28" s="28" t="n"/>
      <c r="BK28" s="28" t="n"/>
      <c r="BL28" s="28" t="n"/>
      <c r="BM28" s="28" t="n"/>
      <c r="BN28" s="28" t="n"/>
      <c r="BO28" s="28" t="n"/>
      <c r="BP28" s="28" t="n"/>
      <c r="BQ28" s="28" t="n"/>
    </row>
    <row r="29" ht="17.5" customHeight="1" s="91">
      <c r="A29" s="26" t="inlineStr">
        <is>
          <t>1.1.02.395S</t>
        </is>
      </c>
      <c r="B29" s="20" t="n"/>
      <c r="C29" s="20" t="n"/>
      <c r="D29" s="35" t="inlineStr">
        <is>
          <t>WO-ZZ00020683</t>
        </is>
      </c>
      <c r="E29" s="21" t="inlineStr">
        <is>
          <t>CARESS BASIC L(10+1)*10</t>
        </is>
      </c>
      <c r="F29" t="inlineStr">
        <is>
          <t>L</t>
        </is>
      </c>
      <c r="G29" s="19" t="n">
        <v>11</v>
      </c>
      <c r="H29" s="19" t="n">
        <v>10</v>
      </c>
      <c r="I29" s="118" t="n"/>
      <c r="J29" s="117" t="n"/>
      <c r="K29" s="19" t="n">
        <v>4000</v>
      </c>
      <c r="L29" s="19">
        <f>F29*G29*J29</f>
        <v/>
      </c>
      <c r="M29" s="26" t="n">
        <v>0</v>
      </c>
      <c r="N29" s="28" t="n"/>
      <c r="O29" s="28" t="n"/>
      <c r="P29" s="28" t="n"/>
      <c r="Q29" s="28" t="n"/>
      <c r="R29" s="28" t="n"/>
      <c r="S29" s="28" t="n"/>
      <c r="T29" s="28" t="n">
        <v>63</v>
      </c>
      <c r="U29" s="28" t="n"/>
      <c r="V29" s="28" t="n">
        <v>146</v>
      </c>
      <c r="W29" s="28" t="n">
        <v>1344</v>
      </c>
      <c r="X29" s="28" t="n">
        <v>1344</v>
      </c>
      <c r="Y29" s="28" t="n">
        <v>1103</v>
      </c>
      <c r="Z29" s="28" t="n"/>
      <c r="AA29" s="28" t="n"/>
      <c r="AB29" s="28" t="n"/>
      <c r="AC29" s="28" t="n"/>
      <c r="AD29" s="28" t="n"/>
      <c r="AE29" s="28" t="n"/>
      <c r="AF29" s="28" t="n"/>
      <c r="AG29" s="28" t="n"/>
      <c r="AH29" s="28" t="n"/>
      <c r="AI29" s="28" t="n"/>
      <c r="AJ29" s="28" t="n"/>
      <c r="AK29" s="28" t="n"/>
      <c r="AL29" s="28" t="n"/>
      <c r="AM29" s="28" t="n"/>
      <c r="AN29" s="28" t="n"/>
      <c r="AO29" s="28" t="n"/>
      <c r="AP29" s="28" t="n"/>
      <c r="AQ29" s="28" t="n"/>
      <c r="AR29" s="28" t="n"/>
      <c r="AS29" s="28" t="n"/>
      <c r="AT29" s="28" t="n"/>
      <c r="AU29" s="28" t="n"/>
      <c r="AV29" s="28" t="n"/>
      <c r="AW29" s="28" t="n"/>
      <c r="AX29" s="28" t="n"/>
      <c r="AY29" s="28" t="n"/>
      <c r="AZ29" s="28" t="n"/>
      <c r="BA29" s="28" t="n"/>
      <c r="BB29" s="28" t="n"/>
      <c r="BC29" s="28" t="n"/>
      <c r="BD29" s="28" t="n"/>
      <c r="BE29" s="28" t="n"/>
      <c r="BF29" s="28" t="n"/>
      <c r="BG29" s="28" t="n"/>
      <c r="BH29" s="28" t="n"/>
      <c r="BI29" s="28" t="n"/>
      <c r="BJ29" s="28" t="n"/>
      <c r="BK29" s="28" t="n"/>
      <c r="BL29" s="28" t="n"/>
      <c r="BM29" s="28" t="n"/>
      <c r="BN29" s="28" t="n"/>
      <c r="BO29" s="28" t="n"/>
      <c r="BP29" s="28" t="n"/>
      <c r="BQ29" s="28" t="n"/>
    </row>
    <row r="30" ht="17.5" customHeight="1" s="91">
      <c r="A30" s="37" t="inlineStr">
        <is>
          <t>1.1.03.344</t>
        </is>
      </c>
      <c r="B30" s="37" t="n"/>
      <c r="C30" s="37" t="inlineStr">
        <is>
          <t>DS-20260506-001</t>
        </is>
      </c>
      <c r="D30" s="37" t="n"/>
      <c r="E30" s="38" t="inlineStr">
        <is>
          <t>珍琦电商系列基础型成人纸尿裤XL码（9片*6包）</t>
        </is>
      </c>
      <c r="F30" t="inlineStr">
        <is>
          <t>XL</t>
        </is>
      </c>
      <c r="G30" s="37" t="n">
        <v>9</v>
      </c>
      <c r="H30" s="37" t="n">
        <v>6</v>
      </c>
      <c r="I30" s="121" t="n">
        <v>46148</v>
      </c>
      <c r="J30" s="121" t="n">
        <v>46178</v>
      </c>
      <c r="K30" s="37" t="n">
        <v>500</v>
      </c>
      <c r="L30" s="37">
        <f>F30*G30*J30</f>
        <v/>
      </c>
      <c r="M30" s="37" t="n">
        <v>0</v>
      </c>
      <c r="N30" s="28" t="n"/>
      <c r="O30" s="28" t="n"/>
      <c r="P30" s="28" t="n"/>
      <c r="Q30" s="28" t="n">
        <v>1</v>
      </c>
      <c r="R30" s="28" t="n"/>
      <c r="S30" s="28" t="n"/>
      <c r="T30" s="28" t="n"/>
      <c r="U30" s="28" t="n"/>
      <c r="V30" s="28" t="n"/>
      <c r="W30" s="28" t="n"/>
      <c r="X30" s="28" t="n"/>
      <c r="Y30" s="28" t="n">
        <v>343</v>
      </c>
      <c r="Z30" s="28" t="n">
        <v>156</v>
      </c>
      <c r="AA30" s="28" t="n"/>
      <c r="AB30" s="28" t="n"/>
      <c r="AC30" s="28" t="n"/>
      <c r="AD30" s="28" t="n"/>
      <c r="AE30" s="28" t="n"/>
      <c r="AF30" s="28" t="n"/>
      <c r="AG30" s="28" t="n"/>
      <c r="AH30" s="28" t="n"/>
      <c r="AI30" s="28" t="n"/>
      <c r="AJ30" s="28" t="n"/>
      <c r="AK30" s="28" t="n"/>
      <c r="AL30" s="28" t="n"/>
      <c r="AM30" s="28" t="n"/>
      <c r="AN30" s="28" t="n"/>
      <c r="AO30" s="28" t="n"/>
      <c r="AP30" s="28" t="n"/>
      <c r="AQ30" s="28" t="n"/>
      <c r="AR30" s="28" t="n"/>
      <c r="AS30" s="28" t="n"/>
      <c r="AT30" s="28" t="n"/>
      <c r="AU30" s="28" t="n"/>
      <c r="AV30" s="28" t="n"/>
      <c r="AW30" s="28" t="n"/>
      <c r="AX30" s="28" t="n"/>
      <c r="AY30" s="28" t="n"/>
      <c r="AZ30" s="28" t="n"/>
      <c r="BA30" s="28" t="n"/>
      <c r="BB30" s="28" t="n"/>
      <c r="BC30" s="28" t="n"/>
      <c r="BD30" s="28" t="n"/>
      <c r="BE30" s="28" t="n"/>
      <c r="BF30" s="28" t="n"/>
      <c r="BG30" s="28" t="n"/>
      <c r="BH30" s="28" t="n"/>
      <c r="BI30" s="28" t="n"/>
      <c r="BJ30" s="28" t="n"/>
      <c r="BK30" s="28" t="n"/>
      <c r="BL30" s="28" t="n"/>
      <c r="BM30" s="28" t="n"/>
      <c r="BN30" s="28" t="n"/>
      <c r="BO30" s="28" t="n"/>
      <c r="BP30" s="28" t="n"/>
      <c r="BQ30" s="28" t="n"/>
    </row>
    <row r="31" ht="18" customHeight="1" s="91">
      <c r="A31" s="37" t="inlineStr">
        <is>
          <t>1.1.03.341</t>
        </is>
      </c>
      <c r="B31" s="37" t="n"/>
      <c r="C31" s="37" t="inlineStr">
        <is>
          <t>DS-20260506-001</t>
        </is>
      </c>
      <c r="D31" s="37" t="n"/>
      <c r="E31" s="38" t="inlineStr">
        <is>
          <t>珍琦电商系列夜用型成人纸尿裤XL码（9片*6包）</t>
        </is>
      </c>
      <c r="F31" t="inlineStr">
        <is>
          <t>XL</t>
        </is>
      </c>
      <c r="G31" s="37" t="n">
        <v>9</v>
      </c>
      <c r="H31" s="37" t="n">
        <v>6</v>
      </c>
      <c r="I31" s="121" t="n">
        <v>46148</v>
      </c>
      <c r="J31" s="121" t="n">
        <v>46183</v>
      </c>
      <c r="K31" s="37" t="n">
        <v>500</v>
      </c>
      <c r="L31" s="37">
        <f>F31*G31*J31</f>
        <v/>
      </c>
      <c r="M31" s="37" t="n">
        <v>0</v>
      </c>
      <c r="N31" s="28" t="n"/>
      <c r="O31" s="28" t="n"/>
      <c r="P31" s="28" t="n"/>
      <c r="Q31" s="28" t="n"/>
      <c r="R31" s="28" t="n"/>
      <c r="S31" s="28" t="n"/>
      <c r="T31" s="28" t="n"/>
      <c r="U31" s="28" t="n"/>
      <c r="V31" s="28" t="n"/>
      <c r="W31" s="28" t="n"/>
      <c r="X31" s="28" t="n"/>
      <c r="Y31" s="28" t="n"/>
      <c r="Z31" s="28" t="n">
        <v>500</v>
      </c>
      <c r="AA31" s="28" t="n"/>
      <c r="AB31" s="28" t="n"/>
      <c r="AC31" s="28" t="n"/>
      <c r="AD31" s="28" t="n"/>
      <c r="AE31" s="28" t="n"/>
      <c r="AF31" s="28" t="n"/>
      <c r="AG31" s="28" t="n"/>
      <c r="AH31" s="28" t="n"/>
      <c r="AI31" s="28" t="n"/>
      <c r="AJ31" s="28" t="n"/>
      <c r="AK31" s="28" t="n"/>
      <c r="AL31" s="28" t="n"/>
      <c r="AM31" s="28" t="n"/>
      <c r="AN31" s="28" t="n"/>
      <c r="AO31" s="28" t="n"/>
      <c r="AP31" s="28" t="n"/>
      <c r="AQ31" s="28" t="n"/>
      <c r="AR31" s="28" t="n"/>
      <c r="AS31" s="28" t="n"/>
      <c r="AT31" s="28" t="n"/>
      <c r="AU31" s="28" t="n"/>
      <c r="AV31" s="28" t="n"/>
      <c r="AW31" s="28" t="n"/>
      <c r="AX31" s="28" t="n"/>
      <c r="AY31" s="28" t="n"/>
      <c r="AZ31" s="28" t="n"/>
      <c r="BA31" s="28" t="n"/>
      <c r="BB31" s="28" t="n"/>
      <c r="BC31" s="28" t="n"/>
      <c r="BD31" s="28" t="n"/>
      <c r="BE31" s="28" t="n"/>
      <c r="BF31" s="28" t="n"/>
      <c r="BG31" s="28" t="n"/>
      <c r="BH31" s="28" t="n"/>
      <c r="BI31" s="28" t="n"/>
      <c r="BJ31" s="28" t="n"/>
      <c r="BK31" s="28" t="n"/>
      <c r="BL31" s="28" t="n"/>
      <c r="BM31" s="28" t="n"/>
      <c r="BN31" s="28" t="n"/>
      <c r="BO31" s="28" t="n"/>
      <c r="BP31" s="28" t="n"/>
      <c r="BQ31" s="28" t="n"/>
    </row>
    <row r="32" ht="17.5" customHeight="1" s="91">
      <c r="A32" s="0" t="n"/>
      <c r="C32" s="0" t="n"/>
      <c r="D32" s="0" t="n"/>
      <c r="E32" s="0" t="n"/>
      <c r="K32" s="0" t="n"/>
      <c r="L32" s="0" t="n"/>
      <c r="M32" s="0" t="n"/>
      <c r="N32" s="0" t="n"/>
      <c r="O32" s="0" t="n"/>
      <c r="P32" s="0" t="n"/>
      <c r="Q32" s="0" t="n"/>
      <c r="R32" s="0" t="n"/>
      <c r="S32" s="0" t="n"/>
      <c r="T32" s="0" t="n"/>
      <c r="U32" s="0" t="n"/>
      <c r="V32" s="0" t="n"/>
      <c r="W32" s="0" t="n"/>
      <c r="X32" s="0" t="n"/>
      <c r="Y32" s="0" t="n"/>
      <c r="Z32" s="0" t="n"/>
      <c r="AA32" s="0" t="n"/>
      <c r="AB32" s="0" t="n"/>
      <c r="AC32" s="0" t="n"/>
      <c r="AD32" s="0" t="n"/>
      <c r="AE32" s="0" t="n"/>
      <c r="AF32" s="0" t="n"/>
      <c r="AG32" s="0" t="n"/>
      <c r="AH32" s="0" t="n"/>
      <c r="AI32" s="0" t="n"/>
      <c r="AJ32" s="0" t="n"/>
      <c r="AK32" s="0" t="n"/>
      <c r="AL32" s="0" t="n"/>
      <c r="AM32" s="0" t="n"/>
      <c r="AN32" s="0" t="n"/>
      <c r="AO32" s="0" t="n"/>
      <c r="AP32" s="0" t="n"/>
      <c r="AQ32" s="0" t="n"/>
      <c r="AR32" s="0" t="n"/>
      <c r="AS32" s="0" t="n"/>
      <c r="AT32" s="0" t="n"/>
      <c r="AU32" s="0" t="n"/>
      <c r="AV32" s="0" t="n"/>
      <c r="AW32" s="0" t="n"/>
      <c r="AX32" s="0" t="n"/>
      <c r="AY32" s="0" t="n"/>
      <c r="AZ32" s="0" t="n"/>
      <c r="BA32" s="0" t="n"/>
      <c r="BB32" s="0" t="n"/>
      <c r="BC32" s="0" t="n"/>
      <c r="BD32" s="0" t="n"/>
      <c r="BE32" s="0" t="n"/>
      <c r="BF32" s="0" t="n"/>
      <c r="BG32" s="0" t="n"/>
      <c r="BH32" s="0" t="n"/>
      <c r="BI32" s="0" t="n"/>
      <c r="BJ32" s="0" t="n"/>
      <c r="BK32" s="0" t="n"/>
      <c r="BL32" s="0" t="n"/>
      <c r="BM32" s="0" t="n"/>
      <c r="BN32" s="0" t="n"/>
      <c r="BO32" s="0" t="n"/>
      <c r="BP32" s="0" t="n"/>
      <c r="BQ32" s="0" t="n"/>
    </row>
    <row r="33" ht="17.5" customHeight="1" s="91">
      <c r="A33" s="80" t="inlineStr">
        <is>
          <t>1.1.02.332</t>
        </is>
      </c>
      <c r="B33" s="35" t="inlineStr">
        <is>
          <t>CR269011</t>
        </is>
      </c>
      <c r="C33" s="24" t="n"/>
      <c r="D33" s="81" t="inlineStr">
        <is>
          <t>WO-ZZ00020603</t>
        </is>
      </c>
      <c r="E33" s="80" t="inlineStr">
        <is>
          <t>SENIOR成人纸尿裤L码(10片*12包) (CU000188)</t>
        </is>
      </c>
      <c r="F33" t="inlineStr">
        <is>
          <t>L</t>
        </is>
      </c>
      <c r="G33" s="19" t="n">
        <v>10</v>
      </c>
      <c r="H33" s="19" t="n">
        <v>12</v>
      </c>
      <c r="I33" s="116" t="n">
        <v>46083</v>
      </c>
      <c r="J33" s="116" t="n">
        <v>46127</v>
      </c>
      <c r="K33" s="19" t="n">
        <v>630</v>
      </c>
      <c r="L33" s="19">
        <f>F33*G33*J33</f>
        <v/>
      </c>
      <c r="M33" s="26" t="n">
        <v>0</v>
      </c>
      <c r="N33" s="28" t="n"/>
      <c r="O33" s="28" t="n"/>
      <c r="P33" s="28" t="n"/>
      <c r="Q33" s="28" t="n"/>
      <c r="R33" s="28" t="n"/>
      <c r="S33" s="28" t="n"/>
      <c r="T33" s="28" t="n"/>
      <c r="U33" s="28" t="n"/>
      <c r="V33" s="28" t="n"/>
      <c r="W33" s="28" t="n"/>
      <c r="X33" s="28" t="n"/>
      <c r="Y33" s="28" t="n"/>
      <c r="Z33" s="28" t="n">
        <v>630</v>
      </c>
      <c r="AA33" s="28" t="n"/>
      <c r="AB33" s="28" t="n"/>
      <c r="AC33" s="28" t="n"/>
      <c r="AD33" s="28" t="n"/>
      <c r="AE33" s="28" t="n"/>
      <c r="AF33" s="28" t="n"/>
      <c r="AG33" s="28" t="n"/>
      <c r="AH33" s="28" t="n"/>
      <c r="AI33" s="28" t="n"/>
      <c r="AJ33" s="28" t="n"/>
      <c r="AK33" s="28" t="n"/>
      <c r="AL33" s="28" t="n"/>
      <c r="AM33" s="28" t="n"/>
      <c r="AN33" s="28" t="n"/>
      <c r="AO33" s="28" t="n"/>
      <c r="AP33" s="28" t="n"/>
      <c r="AQ33" s="28" t="n"/>
      <c r="AR33" s="28" t="n"/>
      <c r="AS33" s="28" t="n"/>
      <c r="AT33" s="28" t="n"/>
      <c r="AU33" s="28" t="n"/>
      <c r="AV33" s="28" t="n"/>
      <c r="AW33" s="28" t="n"/>
      <c r="AX33" s="28" t="n"/>
      <c r="AY33" s="28" t="n"/>
      <c r="AZ33" s="28" t="n"/>
      <c r="BA33" s="28" t="n"/>
      <c r="BB33" s="28" t="n"/>
      <c r="BC33" s="28" t="n"/>
      <c r="BD33" s="28" t="n"/>
      <c r="BE33" s="28" t="n"/>
      <c r="BF33" s="28" t="n"/>
      <c r="BG33" s="28" t="n"/>
      <c r="BH33" s="28" t="n"/>
      <c r="BI33" s="28" t="n"/>
      <c r="BJ33" s="28" t="n"/>
      <c r="BK33" s="28" t="n"/>
      <c r="BL33" s="28" t="n"/>
      <c r="BM33" s="28" t="n"/>
      <c r="BN33" s="28" t="n"/>
      <c r="BO33" s="28" t="n"/>
      <c r="BP33" s="28" t="n"/>
      <c r="BQ33" s="28" t="n"/>
    </row>
    <row r="34" ht="17" customHeight="1" s="91">
      <c r="A34" s="80" t="inlineStr">
        <is>
          <t>1.1.03.301</t>
        </is>
      </c>
      <c r="B34" s="35" t="inlineStr">
        <is>
          <t>CR269011</t>
        </is>
      </c>
      <c r="C34" s="24" t="n"/>
      <c r="D34" s="81" t="inlineStr">
        <is>
          <t>WO-ZZ00020604</t>
        </is>
      </c>
      <c r="E34" s="80" t="inlineStr">
        <is>
          <t>SENIOR成人纸尿裤XL码(10片*12包) (CU000188)</t>
        </is>
      </c>
      <c r="F34" t="inlineStr">
        <is>
          <t>XL</t>
        </is>
      </c>
      <c r="G34" s="19" t="n">
        <v>10</v>
      </c>
      <c r="H34" s="19" t="n">
        <v>12</v>
      </c>
      <c r="I34" s="116" t="n">
        <v>46083</v>
      </c>
      <c r="J34" s="116" t="n">
        <v>46127</v>
      </c>
      <c r="K34" s="19" t="n">
        <v>640</v>
      </c>
      <c r="L34" s="19">
        <f>F34*G34*J34</f>
        <v/>
      </c>
      <c r="M34" s="26" t="n">
        <v>0</v>
      </c>
      <c r="N34" s="28" t="n"/>
      <c r="O34" s="28" t="n"/>
      <c r="P34" s="28" t="n"/>
      <c r="Q34" s="28" t="n"/>
      <c r="R34" s="28" t="n"/>
      <c r="S34" s="28" t="n"/>
      <c r="T34" s="28" t="n"/>
      <c r="U34" s="28" t="n"/>
      <c r="V34" s="28" t="n"/>
      <c r="W34" s="28" t="n"/>
      <c r="X34" s="28" t="n"/>
      <c r="Y34" s="28" t="n"/>
      <c r="Z34" s="28" t="n">
        <v>240</v>
      </c>
      <c r="AA34" s="28" t="n">
        <v>400</v>
      </c>
      <c r="AB34" s="28" t="n"/>
      <c r="AC34" s="28" t="n"/>
      <c r="AD34" s="28" t="n"/>
      <c r="AE34" s="28" t="n"/>
      <c r="AF34" s="28" t="n"/>
      <c r="AG34" s="28" t="n"/>
      <c r="AH34" s="28" t="n"/>
      <c r="AI34" s="28" t="n"/>
      <c r="AJ34" s="28" t="n"/>
      <c r="AK34" s="28" t="n"/>
      <c r="AL34" s="28" t="n"/>
      <c r="AM34" s="28" t="n"/>
      <c r="AN34" s="28" t="n"/>
      <c r="AO34" s="28" t="n"/>
      <c r="AP34" s="28" t="n"/>
      <c r="AQ34" s="28" t="n"/>
      <c r="AR34" s="28" t="n"/>
      <c r="AS34" s="28" t="n"/>
      <c r="AT34" s="28" t="n"/>
      <c r="AU34" s="28" t="n"/>
      <c r="AV34" s="28" t="n"/>
      <c r="AW34" s="28" t="n"/>
      <c r="AX34" s="28" t="n"/>
      <c r="AY34" s="28" t="n"/>
      <c r="AZ34" s="28" t="n"/>
      <c r="BA34" s="28" t="n"/>
      <c r="BB34" s="28" t="n"/>
      <c r="BC34" s="28" t="n"/>
      <c r="BD34" s="28" t="n"/>
      <c r="BE34" s="28" t="n"/>
      <c r="BF34" s="28" t="n"/>
      <c r="BG34" s="28" t="n"/>
      <c r="BH34" s="28" t="n"/>
      <c r="BI34" s="28" t="n"/>
      <c r="BJ34" s="28" t="n"/>
      <c r="BK34" s="28" t="n"/>
      <c r="BL34" s="28" t="n"/>
      <c r="BM34" s="28" t="n"/>
      <c r="BN34" s="28" t="n"/>
      <c r="BO34" s="28" t="n"/>
      <c r="BP34" s="28" t="n"/>
      <c r="BQ34" s="28" t="n"/>
    </row>
    <row r="35" ht="20" customHeight="1" s="91">
      <c r="A35" s="80" t="inlineStr">
        <is>
          <t>1.1.01.325</t>
        </is>
      </c>
      <c r="B35" s="35" t="inlineStr">
        <is>
          <t>CR269011</t>
        </is>
      </c>
      <c r="C35" s="24" t="n"/>
      <c r="D35" s="81" t="inlineStr">
        <is>
          <t>WO-ZZ00020125</t>
        </is>
      </c>
      <c r="E35" s="80" t="inlineStr">
        <is>
          <t>SENIOR成人纸尿裤M码(10片*12包) (CU000188)</t>
        </is>
      </c>
      <c r="F35" t="inlineStr">
        <is>
          <t>M</t>
        </is>
      </c>
      <c r="G35" s="19" t="n">
        <v>10</v>
      </c>
      <c r="H35" s="19" t="n">
        <v>12</v>
      </c>
      <c r="I35" s="116" t="n">
        <v>46083</v>
      </c>
      <c r="J35" s="116" t="n">
        <v>46127</v>
      </c>
      <c r="K35" s="19" t="n">
        <v>745</v>
      </c>
      <c r="L35" s="19">
        <f>F35*G35*J35</f>
        <v/>
      </c>
      <c r="M35" s="26" t="n">
        <v>0</v>
      </c>
      <c r="N35" s="28" t="n"/>
      <c r="O35" s="28" t="n"/>
      <c r="P35" s="28" t="n"/>
      <c r="Q35" s="28" t="n"/>
      <c r="R35" s="28" t="n"/>
      <c r="S35" s="28" t="n"/>
      <c r="T35" s="28" t="n"/>
      <c r="U35" s="28" t="n"/>
      <c r="V35" s="28" t="n"/>
      <c r="W35" s="28" t="n"/>
      <c r="X35" s="28" t="n"/>
      <c r="Y35" s="28" t="n"/>
      <c r="Z35" s="28" t="n"/>
      <c r="AA35" s="28" t="n">
        <v>745</v>
      </c>
      <c r="AB35" s="28" t="n"/>
      <c r="AC35" s="28" t="n"/>
      <c r="AD35" s="28" t="n"/>
      <c r="AE35" s="28" t="n"/>
      <c r="AF35" s="28" t="n"/>
      <c r="AG35" s="28" t="n"/>
      <c r="AH35" s="28" t="n"/>
      <c r="AI35" s="28" t="n"/>
      <c r="AJ35" s="28" t="n"/>
      <c r="AK35" s="28" t="n"/>
      <c r="AL35" s="28" t="n"/>
      <c r="AM35" s="28" t="n"/>
      <c r="AN35" s="28" t="n"/>
      <c r="AO35" s="28" t="n"/>
      <c r="AP35" s="28" t="n"/>
      <c r="AQ35" s="28" t="n"/>
      <c r="AR35" s="28" t="n"/>
      <c r="AS35" s="28" t="n"/>
      <c r="AT35" s="28" t="n"/>
      <c r="AU35" s="28" t="n"/>
      <c r="AV35" s="28" t="n"/>
      <c r="AW35" s="28" t="n"/>
      <c r="AX35" s="28" t="n"/>
      <c r="AY35" s="28" t="n"/>
      <c r="AZ35" s="28" t="n"/>
      <c r="BA35" s="28" t="n"/>
      <c r="BB35" s="28" t="n"/>
      <c r="BC35" s="28" t="n"/>
      <c r="BD35" s="28" t="n"/>
      <c r="BE35" s="28" t="n"/>
      <c r="BF35" s="28" t="n"/>
      <c r="BG35" s="28" t="n"/>
      <c r="BH35" s="28" t="n"/>
      <c r="BI35" s="28" t="n"/>
      <c r="BJ35" s="28" t="n"/>
      <c r="BK35" s="28" t="n"/>
      <c r="BL35" s="28" t="n"/>
      <c r="BM35" s="28" t="n"/>
      <c r="BN35" s="28" t="n"/>
      <c r="BO35" s="28" t="n"/>
      <c r="BP35" s="28" t="n"/>
      <c r="BQ35" s="28" t="n"/>
    </row>
    <row r="36" ht="17.5" customHeight="1" s="91">
      <c r="A36" s="80" t="inlineStr">
        <is>
          <t>1.1.02.332</t>
        </is>
      </c>
      <c r="B36" s="35" t="inlineStr">
        <is>
          <t>CR269012</t>
        </is>
      </c>
      <c r="C36" s="24" t="n"/>
      <c r="D36" s="81" t="inlineStr">
        <is>
          <t>WO-ZZ00020128</t>
        </is>
      </c>
      <c r="E36" s="80" t="inlineStr">
        <is>
          <t>SENIOR成人纸尿裤L码(10片*12包) (CU000188)</t>
        </is>
      </c>
      <c r="F36" t="inlineStr">
        <is>
          <t>L</t>
        </is>
      </c>
      <c r="G36" s="19" t="n">
        <v>10</v>
      </c>
      <c r="H36" s="19" t="n">
        <v>12</v>
      </c>
      <c r="I36" s="116" t="n">
        <v>46084</v>
      </c>
      <c r="J36" s="116" t="n">
        <v>46147</v>
      </c>
      <c r="K36" s="19" t="n">
        <v>630</v>
      </c>
      <c r="L36" s="19">
        <f>F36*G36*J36</f>
        <v/>
      </c>
      <c r="M36" s="43" t="n">
        <v>0</v>
      </c>
      <c r="N36" s="28" t="n"/>
      <c r="O36" s="28" t="n"/>
      <c r="P36" s="28" t="n"/>
      <c r="Q36" s="28" t="n"/>
      <c r="R36" s="28" t="n"/>
      <c r="S36" s="28" t="n"/>
      <c r="T36" s="28" t="n"/>
      <c r="U36" s="28" t="n"/>
      <c r="V36" s="28" t="n"/>
      <c r="W36" s="28" t="n"/>
      <c r="X36" s="28" t="n"/>
      <c r="Y36" s="28" t="n"/>
      <c r="Z36" s="28" t="n"/>
      <c r="AA36" s="28" t="n">
        <v>87</v>
      </c>
      <c r="AB36" s="28" t="n">
        <v>543</v>
      </c>
      <c r="AC36" s="28" t="n"/>
      <c r="AD36" s="28" t="n"/>
      <c r="AE36" s="28" t="n"/>
      <c r="AF36" s="28" t="n"/>
      <c r="AG36" s="28" t="n"/>
      <c r="AH36" s="28" t="n"/>
      <c r="AI36" s="28" t="n"/>
      <c r="AJ36" s="28" t="n"/>
      <c r="AK36" s="28" t="n"/>
      <c r="AL36" s="28" t="n"/>
      <c r="AM36" s="28" t="n"/>
      <c r="AN36" s="28" t="n"/>
      <c r="AO36" s="28" t="n"/>
      <c r="AP36" s="28" t="n"/>
      <c r="AQ36" s="28" t="n"/>
      <c r="AR36" s="28" t="n"/>
      <c r="AS36" s="28" t="n"/>
      <c r="AT36" s="28" t="n"/>
      <c r="AU36" s="28" t="n"/>
      <c r="AV36" s="28" t="n"/>
      <c r="AW36" s="28" t="n"/>
      <c r="AX36" s="28" t="n"/>
      <c r="AY36" s="28" t="n"/>
      <c r="AZ36" s="28" t="n"/>
      <c r="BA36" s="28" t="n"/>
      <c r="BB36" s="28" t="n"/>
      <c r="BC36" s="28" t="n"/>
      <c r="BD36" s="28" t="n"/>
      <c r="BE36" s="28" t="n"/>
      <c r="BF36" s="28" t="n"/>
      <c r="BG36" s="28" t="n"/>
      <c r="BH36" s="28" t="n"/>
      <c r="BI36" s="28" t="n"/>
      <c r="BJ36" s="28" t="n"/>
      <c r="BK36" s="28" t="n"/>
      <c r="BL36" s="28" t="n"/>
      <c r="BM36" s="28" t="n"/>
      <c r="BN36" s="28" t="n"/>
      <c r="BO36" s="28" t="n"/>
      <c r="BP36" s="28" t="n"/>
      <c r="BQ36" s="28" t="n"/>
    </row>
    <row r="37" ht="18" customHeight="1" s="91">
      <c r="A37" s="80" t="inlineStr">
        <is>
          <t>1.1.03.301</t>
        </is>
      </c>
      <c r="B37" s="35" t="inlineStr">
        <is>
          <t>CR269012</t>
        </is>
      </c>
      <c r="C37" s="24" t="n"/>
      <c r="D37" s="81" t="inlineStr">
        <is>
          <t>WO-ZZ00020129</t>
        </is>
      </c>
      <c r="E37" s="80" t="inlineStr">
        <is>
          <t>SENIOR成人纸尿裤XL码(10片*12包) (CU000188)</t>
        </is>
      </c>
      <c r="F37" t="inlineStr">
        <is>
          <t>XL</t>
        </is>
      </c>
      <c r="G37" s="19" t="n">
        <v>10</v>
      </c>
      <c r="H37" s="19" t="n">
        <v>12</v>
      </c>
      <c r="I37" s="116" t="n">
        <v>46084</v>
      </c>
      <c r="J37" s="116" t="n">
        <v>46147</v>
      </c>
      <c r="K37" s="19" t="n">
        <v>640</v>
      </c>
      <c r="L37" s="19">
        <f>F37*G37*J37</f>
        <v/>
      </c>
      <c r="M37" s="43" t="n">
        <v>0</v>
      </c>
      <c r="N37" s="28" t="n"/>
      <c r="O37" s="28" t="n"/>
      <c r="P37" s="28" t="n"/>
      <c r="Q37" s="28" t="n"/>
      <c r="R37" s="28" t="n"/>
      <c r="S37" s="28" t="n"/>
      <c r="T37" s="28" t="n"/>
      <c r="U37" s="28" t="n"/>
      <c r="V37" s="28" t="n"/>
      <c r="W37" s="28" t="n"/>
      <c r="X37" s="28" t="n"/>
      <c r="Y37" s="28" t="n"/>
      <c r="Z37" s="28" t="n"/>
      <c r="AA37" s="28" t="n"/>
      <c r="AB37" s="28" t="n">
        <v>640</v>
      </c>
      <c r="AC37" s="28" t="n"/>
      <c r="AD37" s="28" t="n"/>
      <c r="AE37" s="28" t="n"/>
      <c r="AF37" s="28" t="n"/>
      <c r="AG37" s="28" t="n"/>
      <c r="AH37" s="28" t="n"/>
      <c r="AI37" s="28" t="n"/>
      <c r="AJ37" s="28" t="n"/>
      <c r="AK37" s="28" t="n"/>
      <c r="AL37" s="28" t="n"/>
      <c r="AM37" s="28" t="n"/>
      <c r="AN37" s="28" t="n"/>
      <c r="AO37" s="28" t="n"/>
      <c r="AP37" s="28" t="n"/>
      <c r="AQ37" s="28" t="n"/>
      <c r="AR37" s="28" t="n"/>
      <c r="AS37" s="28" t="n"/>
      <c r="AT37" s="28" t="n"/>
      <c r="AU37" s="28" t="n"/>
      <c r="AV37" s="28" t="n"/>
      <c r="AW37" s="28" t="n"/>
      <c r="AX37" s="28" t="n"/>
      <c r="AY37" s="28" t="n"/>
      <c r="AZ37" s="28" t="n"/>
      <c r="BA37" s="28" t="n"/>
      <c r="BB37" s="28" t="n"/>
      <c r="BC37" s="28" t="n"/>
      <c r="BD37" s="28" t="n"/>
      <c r="BE37" s="28" t="n"/>
      <c r="BF37" s="28" t="n"/>
      <c r="BG37" s="28" t="n"/>
      <c r="BH37" s="28" t="n"/>
      <c r="BI37" s="28" t="n"/>
      <c r="BJ37" s="28" t="n"/>
      <c r="BK37" s="28" t="n"/>
      <c r="BL37" s="28" t="n"/>
      <c r="BM37" s="28" t="n"/>
      <c r="BN37" s="28" t="n"/>
      <c r="BO37" s="28" t="n"/>
      <c r="BP37" s="28" t="n"/>
      <c r="BQ37" s="28" t="n"/>
    </row>
    <row r="38">
      <c r="N38" s="28" t="n"/>
      <c r="O38" s="28" t="n"/>
      <c r="P38" s="28" t="n"/>
      <c r="Q38" s="28" t="n"/>
      <c r="R38" s="28" t="n"/>
      <c r="S38" s="28" t="n"/>
      <c r="T38" s="28" t="n"/>
      <c r="U38" s="28" t="n"/>
      <c r="V38" s="28" t="n"/>
      <c r="W38" s="28" t="n"/>
      <c r="X38" s="28" t="n"/>
      <c r="Y38" s="28" t="n"/>
      <c r="Z38" s="28" t="n"/>
      <c r="AA38" s="28" t="n"/>
      <c r="AB38" s="28" t="n"/>
      <c r="AC38" s="28" t="n"/>
      <c r="AD38" s="28" t="n"/>
      <c r="AE38" s="28" t="n"/>
      <c r="AF38" s="28" t="n"/>
      <c r="AG38" s="28" t="n"/>
      <c r="AH38" s="28" t="n"/>
      <c r="AI38" s="28" t="n"/>
      <c r="AJ38" s="28" t="n"/>
      <c r="AK38" s="28" t="n"/>
      <c r="AL38" s="28" t="n"/>
      <c r="AM38" s="28" t="n"/>
      <c r="AN38" s="28" t="n"/>
      <c r="AO38" s="28" t="n"/>
      <c r="AP38" s="28" t="n"/>
      <c r="AQ38" s="28" t="n"/>
      <c r="AR38" s="28" t="n"/>
      <c r="AS38" s="28" t="n"/>
      <c r="AT38" s="28" t="n"/>
      <c r="AU38" s="28" t="n"/>
      <c r="AV38" s="28" t="n"/>
      <c r="AW38" s="28" t="n"/>
      <c r="AX38" s="28" t="n"/>
      <c r="AY38" s="28" t="n"/>
      <c r="AZ38" s="28" t="n"/>
      <c r="BA38" s="28" t="n"/>
      <c r="BB38" s="28" t="n"/>
      <c r="BC38" s="28" t="n"/>
      <c r="BD38" s="28" t="n"/>
      <c r="BE38" s="28" t="n"/>
      <c r="BF38" s="28" t="n"/>
      <c r="BG38" s="28" t="n"/>
      <c r="BH38" s="28" t="n"/>
      <c r="BI38" s="28" t="n"/>
      <c r="BJ38" s="28" t="n"/>
      <c r="BK38" s="28" t="n"/>
      <c r="BL38" s="28" t="n"/>
      <c r="BM38" s="28" t="n"/>
      <c r="BN38" s="28" t="n"/>
      <c r="BO38" s="28" t="n"/>
      <c r="BP38" s="28" t="n"/>
      <c r="BQ38" s="28" t="n"/>
    </row>
    <row r="39" ht="15.5" customHeight="1" s="91">
      <c r="N39" s="28" t="n"/>
      <c r="O39" s="28" t="n"/>
      <c r="P39" s="28" t="n"/>
      <c r="Q39" s="28" t="n"/>
      <c r="R39" s="28" t="n"/>
      <c r="S39" s="28" t="n"/>
      <c r="T39" s="28" t="n"/>
      <c r="U39" s="28" t="n"/>
      <c r="V39" s="28" t="n"/>
      <c r="W39" s="28" t="n"/>
      <c r="X39" s="28" t="n"/>
      <c r="Y39" s="28" t="n"/>
      <c r="Z39" s="28" t="n"/>
      <c r="AA39" s="28" t="n"/>
      <c r="AB39" s="28" t="n"/>
      <c r="AC39" s="28" t="n"/>
      <c r="AD39" s="28" t="n"/>
      <c r="AE39" s="28" t="n"/>
      <c r="AF39" s="28" t="n"/>
      <c r="AG39" s="28" t="n"/>
      <c r="AH39" s="28" t="n"/>
      <c r="AI39" s="28" t="n"/>
      <c r="AJ39" s="28" t="n"/>
      <c r="AK39" s="28" t="n"/>
      <c r="AL39" s="28" t="n"/>
      <c r="AM39" s="28" t="n"/>
      <c r="AN39" s="28" t="n"/>
      <c r="AO39" s="28" t="n"/>
      <c r="AP39" s="28" t="n"/>
      <c r="AQ39" s="28" t="n"/>
      <c r="AR39" s="28" t="n"/>
      <c r="AS39" s="28" t="n"/>
      <c r="AT39" s="28" t="n"/>
      <c r="AU39" s="28" t="n"/>
      <c r="AV39" s="28" t="n"/>
      <c r="AW39" s="28" t="n"/>
      <c r="AX39" s="28" t="n"/>
      <c r="AY39" s="28" t="n"/>
      <c r="AZ39" s="28" t="n"/>
      <c r="BA39" s="28" t="n"/>
      <c r="BB39" s="28" t="n"/>
      <c r="BC39" s="28" t="n"/>
      <c r="BD39" s="28" t="n"/>
      <c r="BE39" s="28" t="n"/>
      <c r="BF39" s="28" t="n"/>
      <c r="BG39" s="28" t="n"/>
      <c r="BH39" s="28" t="n"/>
      <c r="BI39" s="28" t="n"/>
      <c r="BJ39" s="28" t="n"/>
      <c r="BK39" s="28" t="n"/>
      <c r="BL39" s="28" t="n"/>
      <c r="BM39" s="28" t="n"/>
      <c r="BN39" s="28" t="n"/>
      <c r="BO39" s="28" t="n"/>
      <c r="BP39" s="28" t="n"/>
      <c r="BQ39" s="28" t="n"/>
    </row>
    <row r="40" ht="15.5" customHeight="1" s="91">
      <c r="A40" s="101" t="n"/>
      <c r="B40" s="101" t="n"/>
      <c r="C40" s="101" t="n"/>
      <c r="D40" s="101" t="n"/>
      <c r="E40" s="82" t="n"/>
      <c r="G40" s="101" t="n"/>
      <c r="H40" s="101" t="n"/>
      <c r="I40" s="101" t="n"/>
      <c r="J40" s="101" t="n"/>
      <c r="K40" s="101" t="n"/>
      <c r="L40" s="101" t="n"/>
      <c r="M40" s="0" t="n"/>
      <c r="N40" s="28" t="n"/>
      <c r="O40" s="28" t="n"/>
      <c r="P40" s="28" t="n"/>
      <c r="Q40" s="28" t="n"/>
      <c r="R40" s="28" t="n"/>
      <c r="S40" s="28" t="n"/>
      <c r="T40" s="28" t="n"/>
      <c r="U40" s="28" t="n"/>
      <c r="V40" s="28" t="n"/>
      <c r="W40" s="28" t="n"/>
      <c r="X40" s="28" t="n"/>
      <c r="Y40" s="28" t="n"/>
      <c r="Z40" s="28" t="n"/>
      <c r="AA40" s="28" t="n"/>
      <c r="AB40" s="28" t="n"/>
      <c r="AC40" s="28" t="n"/>
      <c r="AD40" s="28" t="n"/>
      <c r="AE40" s="28" t="n"/>
      <c r="AF40" s="28" t="n"/>
      <c r="AG40" s="28" t="n"/>
      <c r="AH40" s="28" t="n"/>
      <c r="AI40" s="28" t="n"/>
      <c r="AJ40" s="28" t="n"/>
      <c r="AK40" s="28" t="n"/>
      <c r="AL40" s="28" t="n"/>
      <c r="AM40" s="28" t="n"/>
      <c r="AN40" s="28" t="n"/>
      <c r="AO40" s="28" t="n"/>
      <c r="AP40" s="28" t="n"/>
      <c r="AQ40" s="28" t="n"/>
      <c r="AR40" s="28" t="n"/>
      <c r="AS40" s="28" t="n"/>
      <c r="AT40" s="28" t="n"/>
      <c r="AU40" s="28" t="n"/>
      <c r="AV40" s="28" t="n"/>
      <c r="AW40" s="28" t="n"/>
      <c r="AX40" s="28" t="n"/>
      <c r="AY40" s="28" t="n"/>
      <c r="AZ40" s="28" t="n"/>
      <c r="BA40" s="28" t="n"/>
      <c r="BB40" s="28" t="n"/>
      <c r="BC40" s="28" t="n"/>
      <c r="BD40" s="28" t="n"/>
      <c r="BE40" s="28" t="n"/>
      <c r="BF40" s="28" t="n"/>
      <c r="BG40" s="28" t="n"/>
      <c r="BH40" s="28" t="n"/>
      <c r="BI40" s="28" t="n"/>
      <c r="BJ40" s="28" t="n"/>
      <c r="BK40" s="28" t="n"/>
      <c r="BL40" s="28" t="n"/>
      <c r="BM40" s="28" t="n"/>
      <c r="BN40" s="28" t="n"/>
      <c r="BO40" s="28" t="n"/>
      <c r="BP40" s="28" t="n"/>
      <c r="BQ40" s="28" t="n"/>
    </row>
    <row r="41" ht="15.5" customHeight="1" s="91">
      <c r="A41" s="19" t="inlineStr">
        <is>
          <t>1.8.01.643</t>
        </is>
      </c>
      <c r="B41" s="66" t="n"/>
      <c r="C41" s="20" t="n"/>
      <c r="D41" s="83" t="n"/>
      <c r="E41" s="21" t="inlineStr">
        <is>
          <t>金山红会组合装L码（2023）</t>
        </is>
      </c>
      <c r="F41" t="inlineStr">
        <is>
          <t>L</t>
        </is>
      </c>
      <c r="G41" s="19" t="n">
        <v>10</v>
      </c>
      <c r="H41" s="19" t="n">
        <v>8</v>
      </c>
      <c r="I41" s="116" t="n">
        <v>46050</v>
      </c>
      <c r="J41" s="116" t="n">
        <v>46132</v>
      </c>
      <c r="K41" s="19" t="n">
        <v>1250</v>
      </c>
      <c r="L41" s="19" t="n"/>
      <c r="M41" s="0" t="n">
        <v>0</v>
      </c>
      <c r="N41" s="28" t="n"/>
      <c r="O41" s="28" t="n"/>
      <c r="P41" s="28" t="n"/>
      <c r="Q41" s="28" t="n"/>
      <c r="R41" s="28" t="n"/>
      <c r="S41" s="28" t="n"/>
      <c r="T41" s="28" t="n"/>
      <c r="U41" s="28" t="n"/>
      <c r="V41" s="28" t="n">
        <v>1</v>
      </c>
      <c r="W41" s="28" t="n"/>
      <c r="X41" s="28" t="n"/>
      <c r="Y41" s="28" t="n"/>
      <c r="Z41" s="28" t="n"/>
      <c r="AA41" s="28" t="n"/>
      <c r="AB41" s="28" t="n"/>
      <c r="AC41" s="28" t="n">
        <v>1249</v>
      </c>
      <c r="AD41" s="28" t="n"/>
      <c r="AE41" s="28" t="n"/>
      <c r="AF41" s="28" t="n"/>
      <c r="AG41" s="28" t="n"/>
      <c r="AH41" s="28" t="n"/>
      <c r="AI41" s="28" t="n"/>
      <c r="AJ41" s="28" t="n"/>
      <c r="AK41" s="28" t="n"/>
      <c r="AL41" s="28" t="n"/>
      <c r="AM41" s="28" t="n"/>
      <c r="AN41" s="28" t="n"/>
      <c r="AO41" s="28" t="n"/>
      <c r="AP41" s="28" t="n"/>
      <c r="AQ41" s="28" t="n"/>
      <c r="AR41" s="28" t="n"/>
      <c r="AS41" s="28" t="n"/>
      <c r="AT41" s="28" t="n"/>
      <c r="AU41" s="28" t="n"/>
      <c r="AV41" s="28" t="n"/>
      <c r="AW41" s="28" t="n"/>
      <c r="AX41" s="28" t="n"/>
      <c r="AY41" s="28" t="n"/>
      <c r="AZ41" s="28" t="n"/>
      <c r="BA41" s="28" t="n"/>
      <c r="BB41" s="28" t="n"/>
      <c r="BC41" s="28" t="n"/>
      <c r="BD41" s="28" t="n"/>
      <c r="BE41" s="28" t="n"/>
      <c r="BF41" s="28" t="n"/>
      <c r="BG41" s="28" t="n"/>
      <c r="BH41" s="28" t="n"/>
      <c r="BI41" s="28" t="n"/>
      <c r="BJ41" s="28" t="n"/>
      <c r="BK41" s="28" t="n"/>
      <c r="BL41" s="28" t="n"/>
      <c r="BM41" s="28" t="n"/>
      <c r="BN41" s="28" t="n"/>
      <c r="BO41" s="28" t="n"/>
      <c r="BP41" s="28" t="n"/>
      <c r="BQ41" s="28" t="n"/>
    </row>
    <row r="42" ht="15.5" customHeight="1" s="91">
      <c r="A42" s="19" t="inlineStr">
        <is>
          <t>1.8.01.644</t>
        </is>
      </c>
      <c r="B42" s="66" t="n"/>
      <c r="C42" s="20" t="n"/>
      <c r="D42" s="83" t="n"/>
      <c r="E42" s="21" t="inlineStr">
        <is>
          <t>金山红会组合装M码（2023）</t>
        </is>
      </c>
      <c r="F42" t="inlineStr">
        <is>
          <t>M</t>
        </is>
      </c>
      <c r="G42" s="19" t="n">
        <v>10</v>
      </c>
      <c r="H42" s="19" t="n">
        <v>8</v>
      </c>
      <c r="I42" s="116" t="n">
        <v>46050</v>
      </c>
      <c r="J42" s="116" t="n">
        <v>46132</v>
      </c>
      <c r="K42" s="19" t="n">
        <v>120</v>
      </c>
      <c r="L42" s="19" t="n"/>
      <c r="M42" s="0" t="n">
        <v>0</v>
      </c>
      <c r="N42" s="28" t="n"/>
      <c r="O42" s="28" t="n"/>
      <c r="P42" s="28" t="n"/>
      <c r="Q42" s="28" t="n"/>
      <c r="R42" s="28" t="n"/>
      <c r="S42" s="28" t="n"/>
      <c r="T42" s="28" t="n"/>
      <c r="U42" s="28" t="n"/>
      <c r="V42" s="28" t="n"/>
      <c r="W42" s="28" t="n"/>
      <c r="X42" s="28" t="n"/>
      <c r="Y42" s="28" t="n"/>
      <c r="Z42" s="28" t="n"/>
      <c r="AA42" s="28" t="n"/>
      <c r="AB42" s="28" t="n"/>
      <c r="AC42" s="28" t="n">
        <v>120</v>
      </c>
      <c r="AD42" s="28" t="n"/>
      <c r="AE42" s="28" t="n"/>
      <c r="AF42" s="28" t="n"/>
      <c r="AG42" s="28" t="n"/>
      <c r="AH42" s="28" t="n"/>
      <c r="AI42" s="28" t="n"/>
      <c r="AJ42" s="28" t="n"/>
      <c r="AK42" s="28" t="n"/>
      <c r="AL42" s="28" t="n"/>
      <c r="AM42" s="28" t="n"/>
      <c r="AN42" s="28" t="n"/>
      <c r="AO42" s="28" t="n"/>
      <c r="AP42" s="28" t="n"/>
      <c r="AQ42" s="28" t="n"/>
      <c r="AR42" s="28" t="n"/>
      <c r="AS42" s="28" t="n"/>
      <c r="AT42" s="28" t="n"/>
      <c r="AU42" s="28" t="n"/>
      <c r="AV42" s="28" t="n"/>
      <c r="AW42" s="28" t="n"/>
      <c r="AX42" s="28" t="n"/>
      <c r="AY42" s="28" t="n"/>
      <c r="AZ42" s="28" t="n"/>
      <c r="BA42" s="28" t="n"/>
      <c r="BB42" s="28" t="n"/>
      <c r="BC42" s="28" t="n"/>
      <c r="BD42" s="28" t="n"/>
      <c r="BE42" s="28" t="n"/>
      <c r="BF42" s="28" t="n"/>
      <c r="BG42" s="28" t="n"/>
      <c r="BH42" s="28" t="n"/>
      <c r="BI42" s="28" t="n"/>
      <c r="BJ42" s="28" t="n"/>
      <c r="BK42" s="28" t="n"/>
      <c r="BL42" s="28" t="n"/>
      <c r="BM42" s="28" t="n"/>
      <c r="BN42" s="28" t="n"/>
      <c r="BO42" s="28" t="n"/>
      <c r="BP42" s="28" t="n"/>
      <c r="BQ42" s="28" t="n"/>
    </row>
    <row r="43" ht="15.5" customHeight="1" s="91">
      <c r="A43" s="19" t="inlineStr">
        <is>
          <t>1.8.01.645</t>
        </is>
      </c>
      <c r="B43" s="19" t="n"/>
      <c r="C43" s="19" t="n"/>
      <c r="D43" s="83" t="n"/>
      <c r="E43" s="21" t="inlineStr">
        <is>
          <t>浦东红十字组合装M码</t>
        </is>
      </c>
      <c r="F43" t="inlineStr">
        <is>
          <t>M</t>
        </is>
      </c>
      <c r="G43" s="19" t="n">
        <v>10</v>
      </c>
      <c r="H43" s="19" t="n">
        <v>10</v>
      </c>
      <c r="I43" s="116" t="n">
        <v>46042</v>
      </c>
      <c r="J43" s="116" t="n">
        <v>46132</v>
      </c>
      <c r="K43" s="19" t="n">
        <v>100</v>
      </c>
      <c r="L43" s="19" t="n"/>
      <c r="M43" s="0" t="n">
        <v>0</v>
      </c>
      <c r="N43" s="28" t="n"/>
      <c r="O43" s="28" t="n"/>
      <c r="P43" s="28" t="n"/>
      <c r="Q43" s="28" t="n"/>
      <c r="R43" s="28" t="n"/>
      <c r="S43" s="28" t="n"/>
      <c r="T43" s="28" t="n"/>
      <c r="U43" s="28" t="n"/>
      <c r="V43" s="28" t="n"/>
      <c r="W43" s="28" t="n"/>
      <c r="X43" s="28" t="n"/>
      <c r="Y43" s="28" t="n"/>
      <c r="Z43" s="28" t="n"/>
      <c r="AA43" s="28" t="n"/>
      <c r="AB43" s="28" t="n"/>
      <c r="AC43" s="28" t="n">
        <v>100</v>
      </c>
      <c r="AD43" s="28" t="n"/>
      <c r="AE43" s="28" t="n"/>
      <c r="AF43" s="28" t="n"/>
      <c r="AG43" s="28" t="n"/>
      <c r="AH43" s="28" t="n"/>
      <c r="AI43" s="28" t="n"/>
      <c r="AJ43" s="28" t="n"/>
      <c r="AK43" s="28" t="n"/>
      <c r="AL43" s="28" t="n"/>
      <c r="AM43" s="28" t="n"/>
      <c r="AN43" s="28" t="n"/>
      <c r="AO43" s="28" t="n"/>
      <c r="AP43" s="28" t="n"/>
      <c r="AQ43" s="28" t="n"/>
      <c r="AR43" s="28" t="n"/>
      <c r="AS43" s="28" t="n"/>
      <c r="AT43" s="28" t="n"/>
      <c r="AU43" s="28" t="n"/>
      <c r="AV43" s="28" t="n"/>
      <c r="AW43" s="28" t="n"/>
      <c r="AX43" s="28" t="n"/>
      <c r="AY43" s="28" t="n"/>
      <c r="AZ43" s="28" t="n"/>
      <c r="BA43" s="28" t="n"/>
      <c r="BB43" s="28" t="n"/>
      <c r="BC43" s="28" t="n"/>
      <c r="BD43" s="28" t="n"/>
      <c r="BE43" s="28" t="n"/>
      <c r="BF43" s="28" t="n"/>
      <c r="BG43" s="28" t="n"/>
      <c r="BH43" s="28" t="n"/>
      <c r="BI43" s="28" t="n"/>
      <c r="BJ43" s="28" t="n"/>
      <c r="BK43" s="28" t="n"/>
      <c r="BL43" s="28" t="n"/>
      <c r="BM43" s="28" t="n"/>
      <c r="BN43" s="28" t="n"/>
      <c r="BO43" s="28" t="n"/>
      <c r="BP43" s="28" t="n"/>
      <c r="BQ43" s="28" t="n"/>
    </row>
    <row r="44" ht="15.5" customHeight="1" s="91">
      <c r="A44" s="19" t="inlineStr">
        <is>
          <t>1.8.01.646</t>
        </is>
      </c>
      <c r="B44" s="19" t="n"/>
      <c r="C44" s="19" t="n"/>
      <c r="D44" s="83" t="n"/>
      <c r="E44" s="21" t="inlineStr">
        <is>
          <t>浦东红十字组合装L码</t>
        </is>
      </c>
      <c r="F44" t="inlineStr">
        <is>
          <t>L</t>
        </is>
      </c>
      <c r="G44" s="19" t="n">
        <v>10</v>
      </c>
      <c r="H44" s="19" t="n">
        <v>10</v>
      </c>
      <c r="I44" s="116" t="n">
        <v>46042</v>
      </c>
      <c r="J44" s="116" t="n">
        <v>46132</v>
      </c>
      <c r="K44" s="19" t="n">
        <v>1100</v>
      </c>
      <c r="L44" s="19" t="n"/>
      <c r="M44" s="0" t="n">
        <v>0</v>
      </c>
      <c r="N44" s="28" t="n"/>
      <c r="O44" s="28" t="n"/>
      <c r="P44" s="28" t="n"/>
      <c r="Q44" s="28" t="n"/>
      <c r="R44" s="28" t="n"/>
      <c r="S44" s="28" t="n"/>
      <c r="T44" s="28" t="n"/>
      <c r="U44" s="28" t="n"/>
      <c r="V44" s="28" t="n"/>
      <c r="W44" s="28" t="n"/>
      <c r="X44" s="28" t="n"/>
      <c r="Y44" s="28" t="n"/>
      <c r="Z44" s="28" t="n"/>
      <c r="AA44" s="28" t="n"/>
      <c r="AB44" s="28" t="n"/>
      <c r="AC44" s="28" t="n">
        <v>203</v>
      </c>
      <c r="AD44" s="28" t="n">
        <v>897</v>
      </c>
      <c r="AE44" s="28" t="n"/>
      <c r="AF44" s="28" t="n"/>
      <c r="AG44" s="28" t="n"/>
      <c r="AH44" s="28" t="n"/>
      <c r="AI44" s="28" t="n"/>
      <c r="AJ44" s="28" t="n"/>
      <c r="AK44" s="28" t="n"/>
      <c r="AL44" s="28" t="n"/>
      <c r="AM44" s="28" t="n"/>
      <c r="AN44" s="28" t="n"/>
      <c r="AO44" s="28" t="n"/>
      <c r="AP44" s="28" t="n"/>
      <c r="AQ44" s="28" t="n"/>
      <c r="AR44" s="28" t="n"/>
      <c r="AS44" s="28" t="n"/>
      <c r="AT44" s="28" t="n"/>
      <c r="AU44" s="28" t="n"/>
      <c r="AV44" s="28" t="n"/>
      <c r="AW44" s="28" t="n"/>
      <c r="AX44" s="28" t="n"/>
      <c r="AY44" s="28" t="n"/>
      <c r="AZ44" s="28" t="n"/>
      <c r="BA44" s="28" t="n"/>
      <c r="BB44" s="28" t="n"/>
      <c r="BC44" s="28" t="n"/>
      <c r="BD44" s="28" t="n"/>
      <c r="BE44" s="28" t="n"/>
      <c r="BF44" s="28" t="n"/>
      <c r="BG44" s="28" t="n"/>
      <c r="BH44" s="28" t="n"/>
      <c r="BI44" s="28" t="n"/>
      <c r="BJ44" s="28" t="n"/>
      <c r="BK44" s="28" t="n"/>
      <c r="BL44" s="28" t="n"/>
      <c r="BM44" s="28" t="n"/>
      <c r="BN44" s="28" t="n"/>
      <c r="BO44" s="28" t="n"/>
      <c r="BP44" s="28" t="n"/>
      <c r="BQ44" s="28" t="n"/>
    </row>
    <row r="45" ht="17" customHeight="1" s="91">
      <c r="A45" s="19" t="inlineStr">
        <is>
          <t>1.8.01.647</t>
        </is>
      </c>
      <c r="B45" s="19" t="n"/>
      <c r="C45" s="19" t="n"/>
      <c r="D45" s="83" t="n"/>
      <c r="E45" s="21" t="inlineStr">
        <is>
          <t>浦东红十字组合装XL码</t>
        </is>
      </c>
      <c r="F45" t="inlineStr">
        <is>
          <t>XL</t>
        </is>
      </c>
      <c r="G45" s="19" t="n">
        <v>10</v>
      </c>
      <c r="H45" s="19" t="n">
        <v>10</v>
      </c>
      <c r="I45" s="116" t="n">
        <v>46042</v>
      </c>
      <c r="J45" s="116" t="n">
        <v>46132</v>
      </c>
      <c r="K45" s="19" t="n">
        <v>50</v>
      </c>
      <c r="L45" s="19" t="n"/>
      <c r="M45" s="0" t="n">
        <v>0</v>
      </c>
      <c r="N45" s="28" t="n"/>
      <c r="O45" s="28" t="n"/>
      <c r="P45" s="28" t="n"/>
      <c r="Q45" s="28" t="n"/>
      <c r="R45" s="28" t="n"/>
      <c r="S45" s="28" t="n"/>
      <c r="T45" s="28" t="n"/>
      <c r="U45" s="28" t="n"/>
      <c r="V45" s="28" t="n"/>
      <c r="W45" s="28" t="n"/>
      <c r="X45" s="28" t="n"/>
      <c r="Y45" s="28" t="n"/>
      <c r="Z45" s="28" t="n"/>
      <c r="AA45" s="28" t="n"/>
      <c r="AB45" s="28" t="n"/>
      <c r="AC45" s="28" t="n"/>
      <c r="AD45" s="28" t="n">
        <v>50</v>
      </c>
      <c r="AE45" s="28" t="n"/>
      <c r="AF45" s="28" t="n"/>
      <c r="AG45" s="28" t="n"/>
      <c r="AH45" s="28" t="n"/>
      <c r="AI45" s="28" t="n"/>
      <c r="AJ45" s="28" t="n"/>
      <c r="AK45" s="28" t="n"/>
      <c r="AL45" s="28" t="n"/>
      <c r="AM45" s="28" t="n"/>
      <c r="AN45" s="28" t="n"/>
      <c r="AO45" s="28" t="n"/>
      <c r="AP45" s="28" t="n"/>
      <c r="AQ45" s="28" t="n"/>
      <c r="AR45" s="28" t="n"/>
      <c r="AS45" s="28" t="n"/>
      <c r="AT45" s="28" t="n"/>
      <c r="AU45" s="28" t="n"/>
      <c r="AV45" s="28" t="n"/>
      <c r="AW45" s="28" t="n"/>
      <c r="AX45" s="28" t="n"/>
      <c r="AY45" s="28" t="n"/>
      <c r="AZ45" s="28" t="n"/>
      <c r="BA45" s="28" t="n"/>
      <c r="BB45" s="28" t="n"/>
      <c r="BC45" s="28" t="n"/>
      <c r="BD45" s="28" t="n"/>
      <c r="BE45" s="28" t="n"/>
      <c r="BF45" s="28" t="n"/>
      <c r="BG45" s="28" t="n"/>
      <c r="BH45" s="28" t="n"/>
      <c r="BI45" s="28" t="n"/>
      <c r="BJ45" s="28" t="n"/>
      <c r="BK45" s="28" t="n"/>
      <c r="BL45" s="28" t="n"/>
      <c r="BM45" s="28" t="n"/>
      <c r="BN45" s="28" t="n"/>
      <c r="BO45" s="28" t="n"/>
      <c r="BP45" s="28" t="n"/>
      <c r="BQ45" s="28" t="n"/>
    </row>
    <row r="46"/>
    <row r="47" ht="15.5" customHeight="1" s="91"/>
    <row r="48" ht="15.5" customHeight="1" s="91">
      <c r="J48" s="101" t="n"/>
      <c r="K48" s="101" t="n"/>
    </row>
    <row r="49" ht="15.5" customHeight="1" s="91">
      <c r="J49" s="101" t="n"/>
      <c r="K49" s="101" t="n"/>
    </row>
    <row r="50" ht="17" customHeight="1" s="91">
      <c r="J50" s="101" t="n"/>
      <c r="K50" s="101" t="n"/>
    </row>
    <row r="51"/>
    <row r="52">
      <c r="G52" s="99" t="n"/>
    </row>
  </sheetData>
  <autoFilter ref="A5:BP49"/>
  <mergeCells count="3">
    <mergeCell ref="A1:H4"/>
    <mergeCell ref="I3:J4"/>
    <mergeCell ref="F5:G5"/>
  </mergeCells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  <pageSetup orientation="portrait" paperSize="9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BQ36"/>
  <sheetViews>
    <sheetView showGridLines="0" zoomScale="70" zoomScaleNormal="70" workbookViewId="0">
      <pane xSplit="12" ySplit="5" topLeftCell="M6" activePane="bottomRight" state="frozen"/>
      <selection pane="topRight" activeCell="A1" sqref="A1"/>
      <selection pane="bottomLeft" activeCell="A1" sqref="A1"/>
      <selection pane="bottomRight" activeCell="K19" sqref="K19"/>
    </sheetView>
  </sheetViews>
  <sheetFormatPr baseColWidth="10" defaultColWidth="8.83203125" defaultRowHeight="15"/>
  <cols>
    <col width="13.83203125" customWidth="1" style="91" min="1" max="1"/>
    <col width="12.6640625" customWidth="1" style="91" min="2" max="2"/>
    <col width="27.1640625" customWidth="1" style="91" min="3" max="4"/>
    <col width="61.1640625" customWidth="1" style="48" min="5" max="5"/>
    <col width="8.83203125" customWidth="1" style="3" min="8" max="8"/>
    <col width="10.1640625" customWidth="1" style="3" min="9" max="9"/>
    <col width="11.83203125" customWidth="1" style="91" min="10" max="10"/>
    <col width="12.83203125" customWidth="1" style="91" min="11" max="11"/>
    <col width="12" customWidth="1" style="91" min="12" max="12"/>
    <col width="9" customWidth="1" style="91" min="13" max="67"/>
  </cols>
  <sheetData>
    <row r="1" ht="16.25" customFormat="1" customHeight="1" s="101">
      <c r="A1" s="100" t="inlineStr">
        <is>
          <t>AD-8#尿裤</t>
        </is>
      </c>
      <c r="J1" s="4" t="inlineStr">
        <is>
          <t>单班</t>
        </is>
      </c>
      <c r="K1" s="4" t="n">
        <v>123420</v>
      </c>
      <c r="L1" s="5" t="inlineStr">
        <is>
          <t>未排产计划</t>
        </is>
      </c>
      <c r="M1" s="107" t="n"/>
    </row>
    <row r="2" ht="16.25" customFormat="1" customHeight="1" s="101">
      <c r="J2" s="4" t="inlineStr">
        <is>
          <t>双班</t>
        </is>
      </c>
      <c r="K2" s="4" t="n">
        <v>224400</v>
      </c>
      <c r="L2" s="5" t="inlineStr">
        <is>
          <t>4月排产计划</t>
        </is>
      </c>
      <c r="M2" s="108">
        <f>SUM(M5:AL5)</f>
        <v/>
      </c>
      <c r="N2" s="122" t="inlineStr">
        <is>
          <t>双</t>
        </is>
      </c>
      <c r="O2" s="122" t="inlineStr">
        <is>
          <t>双</t>
        </is>
      </c>
      <c r="P2" s="122" t="inlineStr">
        <is>
          <t>双</t>
        </is>
      </c>
      <c r="Q2" s="122" t="inlineStr">
        <is>
          <t>双</t>
        </is>
      </c>
      <c r="R2" s="122" t="inlineStr"/>
      <c r="S2" s="122" t="inlineStr">
        <is>
          <t>双</t>
        </is>
      </c>
      <c r="T2" s="122" t="inlineStr">
        <is>
          <t>双</t>
        </is>
      </c>
      <c r="U2" s="122" t="inlineStr">
        <is>
          <t>双</t>
        </is>
      </c>
      <c r="V2" s="122" t="inlineStr">
        <is>
          <t>双</t>
        </is>
      </c>
      <c r="W2" s="122" t="inlineStr">
        <is>
          <t>双</t>
        </is>
      </c>
      <c r="X2" s="122" t="inlineStr">
        <is>
          <t>双</t>
        </is>
      </c>
      <c r="Y2" s="122" t="inlineStr"/>
      <c r="Z2" s="122" t="inlineStr">
        <is>
          <t>双</t>
        </is>
      </c>
      <c r="AA2" s="122" t="inlineStr">
        <is>
          <t>双</t>
        </is>
      </c>
      <c r="AB2" s="122" t="inlineStr">
        <is>
          <t>双</t>
        </is>
      </c>
      <c r="AC2" s="122" t="inlineStr">
        <is>
          <t>双</t>
        </is>
      </c>
      <c r="AD2" s="122" t="inlineStr">
        <is>
          <t>双</t>
        </is>
      </c>
      <c r="AE2" s="122" t="inlineStr">
        <is>
          <t>双</t>
        </is>
      </c>
      <c r="AF2" s="122" t="inlineStr"/>
      <c r="AG2" s="122" t="inlineStr">
        <is>
          <t>双</t>
        </is>
      </c>
      <c r="AH2" s="122" t="inlineStr">
        <is>
          <t>双</t>
        </is>
      </c>
      <c r="AI2" s="122" t="inlineStr">
        <is>
          <t>双</t>
        </is>
      </c>
      <c r="AJ2" s="122" t="inlineStr">
        <is>
          <t>双</t>
        </is>
      </c>
      <c r="AK2" s="122" t="inlineStr">
        <is>
          <t>双</t>
        </is>
      </c>
      <c r="AL2" s="122" t="inlineStr">
        <is>
          <t>双</t>
        </is>
      </c>
      <c r="AM2" s="122" t="inlineStr"/>
      <c r="AN2" s="122" t="inlineStr">
        <is>
          <t>双</t>
        </is>
      </c>
      <c r="AO2" s="122" t="inlineStr">
        <is>
          <t>双</t>
        </is>
      </c>
      <c r="AP2" s="122" t="inlineStr">
        <is>
          <t>双</t>
        </is>
      </c>
      <c r="AQ2" s="122" t="inlineStr">
        <is>
          <t>双</t>
        </is>
      </c>
      <c r="AR2" s="122" t="inlineStr">
        <is>
          <t>双</t>
        </is>
      </c>
      <c r="AS2" s="122" t="inlineStr">
        <is>
          <t>双</t>
        </is>
      </c>
      <c r="AT2" s="122" t="inlineStr"/>
      <c r="AU2" s="122" t="inlineStr">
        <is>
          <t>双</t>
        </is>
      </c>
      <c r="AV2" s="122" t="inlineStr">
        <is>
          <t>双</t>
        </is>
      </c>
      <c r="AW2" s="122" t="inlineStr">
        <is>
          <t>双</t>
        </is>
      </c>
      <c r="AX2" s="122" t="inlineStr">
        <is>
          <t>双</t>
        </is>
      </c>
      <c r="AY2" s="122" t="inlineStr">
        <is>
          <t>双</t>
        </is>
      </c>
      <c r="AZ2" s="122" t="inlineStr">
        <is>
          <t>双</t>
        </is>
      </c>
      <c r="BA2" s="122" t="inlineStr"/>
      <c r="BB2" s="122" t="inlineStr">
        <is>
          <t>双</t>
        </is>
      </c>
      <c r="BC2" s="122" t="inlineStr">
        <is>
          <t>双</t>
        </is>
      </c>
      <c r="BD2" s="122" t="inlineStr">
        <is>
          <t>双</t>
        </is>
      </c>
      <c r="BE2" s="122" t="inlineStr">
        <is>
          <t>双</t>
        </is>
      </c>
      <c r="BF2" s="122" t="inlineStr">
        <is>
          <t>双</t>
        </is>
      </c>
      <c r="BG2" s="122" t="inlineStr">
        <is>
          <t>双</t>
        </is>
      </c>
      <c r="BH2" s="122" t="inlineStr"/>
      <c r="BI2" s="122" t="inlineStr">
        <is>
          <t>双</t>
        </is>
      </c>
      <c r="BJ2" s="122" t="inlineStr">
        <is>
          <t>双</t>
        </is>
      </c>
      <c r="BK2" s="122" t="inlineStr">
        <is>
          <t>双</t>
        </is>
      </c>
      <c r="BL2" s="122" t="inlineStr">
        <is>
          <t>双</t>
        </is>
      </c>
      <c r="BM2" s="122" t="inlineStr">
        <is>
          <t>双</t>
        </is>
      </c>
      <c r="BN2" s="122" t="inlineStr">
        <is>
          <t>双</t>
        </is>
      </c>
      <c r="BO2" s="122" t="inlineStr">
        <is>
          <t>双</t>
        </is>
      </c>
      <c r="BP2" s="122" t="inlineStr">
        <is>
          <t>双</t>
        </is>
      </c>
    </row>
    <row r="3" ht="17" customFormat="1" customHeight="1" s="101">
      <c r="J3" s="102" t="n"/>
      <c r="K3" s="103" t="n"/>
      <c r="N3" s="0">
        <f>MAX(0,ROWS(UNIQUE(FILTER($F7:$F36,(N7:N36&gt;0)*($F7:$F36&lt;&gt;""))))-1)*IF(N2="双",VLOOKUP($A$1,'换码设置'!$A:$C,2,FALSE),IF(N2="单",VLOOKUP($A$1,'换码设置'!$A:$C,3,FALSE),0))</f>
        <v/>
      </c>
      <c r="O3" s="0">
        <f>MAX(0,ROWS(UNIQUE(FILTER($F7:$F36,(O7:O36&gt;0)*($F7:$F36&lt;&gt;""))))-1)*IF(O2="双",VLOOKUP($A$1,'换码设置'!$A:$C,2,FALSE),IF(O2="单",VLOOKUP($A$1,'换码设置'!$A:$C,3,FALSE),0))</f>
        <v/>
      </c>
      <c r="P3" s="0">
        <f>MAX(0,ROWS(UNIQUE(FILTER($F7:$F36,(P7:P36&gt;0)*($F7:$F36&lt;&gt;""))))-1)*IF(P2="双",VLOOKUP($A$1,'换码设置'!$A:$C,2,FALSE),IF(P2="单",VLOOKUP($A$1,'换码设置'!$A:$C,3,FALSE),0))</f>
        <v/>
      </c>
      <c r="Q3" s="0">
        <f>MAX(0,ROWS(UNIQUE(FILTER($F7:$F36,(Q7:Q36&gt;0)*($F7:$F36&lt;&gt;""))))-1)*IF(Q2="双",VLOOKUP($A$1,'换码设置'!$A:$C,2,FALSE),IF(Q2="单",VLOOKUP($A$1,'换码设置'!$A:$C,3,FALSE),0))</f>
        <v/>
      </c>
      <c r="R3" s="0">
        <f>MAX(0,ROWS(UNIQUE(FILTER($F7:$F36,(R7:R36&gt;0)*($F7:$F36&lt;&gt;""))))-1)*IF(R2="双",VLOOKUP($A$1,'换码设置'!$A:$C,2,FALSE),IF(R2="单",VLOOKUP($A$1,'换码设置'!$A:$C,3,FALSE),0))</f>
        <v/>
      </c>
      <c r="S3" s="0">
        <f>MAX(0,ROWS(UNIQUE(FILTER($F7:$F36,(S7:S36&gt;0)*($F7:$F36&lt;&gt;""))))-1)*IF(S2="双",VLOOKUP($A$1,'换码设置'!$A:$C,2,FALSE),IF(S2="单",VLOOKUP($A$1,'换码设置'!$A:$C,3,FALSE),0))</f>
        <v/>
      </c>
      <c r="T3" s="0">
        <f>MAX(0,ROWS(UNIQUE(FILTER($F7:$F36,(T7:T36&gt;0)*($F7:$F36&lt;&gt;""))))-1)*IF(T2="双",VLOOKUP($A$1,'换码设置'!$A:$C,2,FALSE),IF(T2="单",VLOOKUP($A$1,'换码设置'!$A:$C,3,FALSE),0))</f>
        <v/>
      </c>
      <c r="U3" s="0">
        <f>MAX(0,ROWS(UNIQUE(FILTER($F7:$F36,(U7:U36&gt;0)*($F7:$F36&lt;&gt;""))))-1)*IF(U2="双",VLOOKUP($A$1,'换码设置'!$A:$C,2,FALSE),IF(U2="单",VLOOKUP($A$1,'换码设置'!$A:$C,3,FALSE),0))</f>
        <v/>
      </c>
      <c r="V3" s="0">
        <f>MAX(0,ROWS(UNIQUE(FILTER($F7:$F36,(V7:V36&gt;0)*($F7:$F36&lt;&gt;""))))-1)*IF(V2="双",VLOOKUP($A$1,'换码设置'!$A:$C,2,FALSE),IF(V2="单",VLOOKUP($A$1,'换码设置'!$A:$C,3,FALSE),0))</f>
        <v/>
      </c>
      <c r="W3" s="0">
        <f>MAX(0,ROWS(UNIQUE(FILTER($F7:$F36,(W7:W36&gt;0)*($F7:$F36&lt;&gt;""))))-1)*IF(W2="双",VLOOKUP($A$1,'换码设置'!$A:$C,2,FALSE),IF(W2="单",VLOOKUP($A$1,'换码设置'!$A:$C,3,FALSE),0))</f>
        <v/>
      </c>
      <c r="X3" s="0">
        <f>MAX(0,ROWS(UNIQUE(FILTER($F7:$F36,(X7:X36&gt;0)*($F7:$F36&lt;&gt;""))))-1)*IF(X2="双",VLOOKUP($A$1,'换码设置'!$A:$C,2,FALSE),IF(X2="单",VLOOKUP($A$1,'换码设置'!$A:$C,3,FALSE),0))</f>
        <v/>
      </c>
      <c r="Y3" s="0">
        <f>MAX(0,ROWS(UNIQUE(FILTER($F7:$F36,(Y7:Y36&gt;0)*($F7:$F36&lt;&gt;""))))-1)*IF(Y2="双",VLOOKUP($A$1,'换码设置'!$A:$C,2,FALSE),IF(Y2="单",VLOOKUP($A$1,'换码设置'!$A:$C,3,FALSE),0))</f>
        <v/>
      </c>
      <c r="Z3" s="0">
        <f>MAX(0,ROWS(UNIQUE(FILTER($F7:$F36,(Z7:Z36&gt;0)*($F7:$F36&lt;&gt;""))))-1)*IF(Z2="双",VLOOKUP($A$1,'换码设置'!$A:$C,2,FALSE),IF(Z2="单",VLOOKUP($A$1,'换码设置'!$A:$C,3,FALSE),0))</f>
        <v/>
      </c>
      <c r="AA3" s="0">
        <f>MAX(0,ROWS(UNIQUE(FILTER($F7:$F36,(AA7:AA36&gt;0)*($F7:$F36&lt;&gt;""))))-1)*IF(AA2="双",VLOOKUP($A$1,'换码设置'!$A:$C,2,FALSE),IF(AA2="单",VLOOKUP($A$1,'换码设置'!$A:$C,3,FALSE),0))</f>
        <v/>
      </c>
      <c r="AB3" s="0">
        <f>MAX(0,ROWS(UNIQUE(FILTER($F7:$F36,(AB7:AB36&gt;0)*($F7:$F36&lt;&gt;""))))-1)*IF(AB2="双",VLOOKUP($A$1,'换码设置'!$A:$C,2,FALSE),IF(AB2="单",VLOOKUP($A$1,'换码设置'!$A:$C,3,FALSE),0))</f>
        <v/>
      </c>
      <c r="AC3" s="0">
        <f>MAX(0,ROWS(UNIQUE(FILTER($F7:$F36,(AC7:AC36&gt;0)*($F7:$F36&lt;&gt;""))))-1)*IF(AC2="双",VLOOKUP($A$1,'换码设置'!$A:$C,2,FALSE),IF(AC2="单",VLOOKUP($A$1,'换码设置'!$A:$C,3,FALSE),0))</f>
        <v/>
      </c>
      <c r="AD3" s="0">
        <f>MAX(0,ROWS(UNIQUE(FILTER($F7:$F36,(AD7:AD36&gt;0)*($F7:$F36&lt;&gt;""))))-1)*IF(AD2="双",VLOOKUP($A$1,'换码设置'!$A:$C,2,FALSE),IF(AD2="单",VLOOKUP($A$1,'换码设置'!$A:$C,3,FALSE),0))</f>
        <v/>
      </c>
      <c r="AE3" s="0">
        <f>MAX(0,ROWS(UNIQUE(FILTER($F7:$F36,(AE7:AE36&gt;0)*($F7:$F36&lt;&gt;""))))-1)*IF(AE2="双",VLOOKUP($A$1,'换码设置'!$A:$C,2,FALSE),IF(AE2="单",VLOOKUP($A$1,'换码设置'!$A:$C,3,FALSE),0))</f>
        <v/>
      </c>
      <c r="AF3" s="0">
        <f>MAX(0,ROWS(UNIQUE(FILTER($F7:$F36,(AF7:AF36&gt;0)*($F7:$F36&lt;&gt;""))))-1)*IF(AF2="双",VLOOKUP($A$1,'换码设置'!$A:$C,2,FALSE),IF(AF2="单",VLOOKUP($A$1,'换码设置'!$A:$C,3,FALSE),0))</f>
        <v/>
      </c>
      <c r="AG3" s="0">
        <f>MAX(0,ROWS(UNIQUE(FILTER($F7:$F36,(AG7:AG36&gt;0)*($F7:$F36&lt;&gt;""))))-1)*IF(AG2="双",VLOOKUP($A$1,'换码设置'!$A:$C,2,FALSE),IF(AG2="单",VLOOKUP($A$1,'换码设置'!$A:$C,3,FALSE),0))</f>
        <v/>
      </c>
      <c r="AH3" s="0">
        <f>MAX(0,ROWS(UNIQUE(FILTER($F7:$F36,(AH7:AH36&gt;0)*($F7:$F36&lt;&gt;""))))-1)*IF(AH2="双",VLOOKUP($A$1,'换码设置'!$A:$C,2,FALSE),IF(AH2="单",VLOOKUP($A$1,'换码设置'!$A:$C,3,FALSE),0))</f>
        <v/>
      </c>
      <c r="AI3" s="0">
        <f>MAX(0,ROWS(UNIQUE(FILTER($F7:$F36,(AI7:AI36&gt;0)*($F7:$F36&lt;&gt;""))))-1)*IF(AI2="双",VLOOKUP($A$1,'换码设置'!$A:$C,2,FALSE),IF(AI2="单",VLOOKUP($A$1,'换码设置'!$A:$C,3,FALSE),0))</f>
        <v/>
      </c>
      <c r="AJ3" s="0">
        <f>MAX(0,ROWS(UNIQUE(FILTER($F7:$F36,(AJ7:AJ36&gt;0)*($F7:$F36&lt;&gt;""))))-1)*IF(AJ2="双",VLOOKUP($A$1,'换码设置'!$A:$C,2,FALSE),IF(AJ2="单",VLOOKUP($A$1,'换码设置'!$A:$C,3,FALSE),0))</f>
        <v/>
      </c>
      <c r="AK3" s="0">
        <f>MAX(0,ROWS(UNIQUE(FILTER($F7:$F36,(AK7:AK36&gt;0)*($F7:$F36&lt;&gt;""))))-1)*IF(AK2="双",VLOOKUP($A$1,'换码设置'!$A:$C,2,FALSE),IF(AK2="单",VLOOKUP($A$1,'换码设置'!$A:$C,3,FALSE),0))</f>
        <v/>
      </c>
      <c r="AL3" s="0">
        <f>MAX(0,ROWS(UNIQUE(FILTER($F7:$F36,(AL7:AL36&gt;0)*($F7:$F36&lt;&gt;""))))-1)*IF(AL2="双",VLOOKUP($A$1,'换码设置'!$A:$C,2,FALSE),IF(AL2="单",VLOOKUP($A$1,'换码设置'!$A:$C,3,FALSE),0))</f>
        <v/>
      </c>
      <c r="AM3" s="0">
        <f>MAX(0,ROWS(UNIQUE(FILTER($F7:$F36,(AM7:AM36&gt;0)*($F7:$F36&lt;&gt;""))))-1)*IF(AM2="双",VLOOKUP($A$1,'换码设置'!$A:$C,2,FALSE),IF(AM2="单",VLOOKUP($A$1,'换码设置'!$A:$C,3,FALSE),0))</f>
        <v/>
      </c>
      <c r="AN3" s="0">
        <f>MAX(0,ROWS(UNIQUE(FILTER($F7:$F36,(AN7:AN36&gt;0)*($F7:$F36&lt;&gt;""))))-1)*IF(AN2="双",VLOOKUP($A$1,'换码设置'!$A:$C,2,FALSE),IF(AN2="单",VLOOKUP($A$1,'换码设置'!$A:$C,3,FALSE),0))</f>
        <v/>
      </c>
      <c r="AO3" s="0">
        <f>MAX(0,ROWS(UNIQUE(FILTER($F7:$F36,(AO7:AO36&gt;0)*($F7:$F36&lt;&gt;""))))-1)*IF(AO2="双",VLOOKUP($A$1,'换码设置'!$A:$C,2,FALSE),IF(AO2="单",VLOOKUP($A$1,'换码设置'!$A:$C,3,FALSE),0))</f>
        <v/>
      </c>
      <c r="AP3" s="0">
        <f>MAX(0,ROWS(UNIQUE(FILTER($F7:$F36,(AP7:AP36&gt;0)*($F7:$F36&lt;&gt;""))))-1)*IF(AP2="双",VLOOKUP($A$1,'换码设置'!$A:$C,2,FALSE),IF(AP2="单",VLOOKUP($A$1,'换码设置'!$A:$C,3,FALSE),0))</f>
        <v/>
      </c>
      <c r="AQ3" s="0">
        <f>MAX(0,ROWS(UNIQUE(FILTER($F7:$F36,(AQ7:AQ36&gt;0)*($F7:$F36&lt;&gt;""))))-1)*IF(AQ2="双",VLOOKUP($A$1,'换码设置'!$A:$C,2,FALSE),IF(AQ2="单",VLOOKUP($A$1,'换码设置'!$A:$C,3,FALSE),0))</f>
        <v/>
      </c>
      <c r="AR3" s="0">
        <f>MAX(0,ROWS(UNIQUE(FILTER($F7:$F36,(AR7:AR36&gt;0)*($F7:$F36&lt;&gt;""))))-1)*IF(AR2="双",VLOOKUP($A$1,'换码设置'!$A:$C,2,FALSE),IF(AR2="单",VLOOKUP($A$1,'换码设置'!$A:$C,3,FALSE),0))</f>
        <v/>
      </c>
      <c r="AS3" s="0">
        <f>MAX(0,ROWS(UNIQUE(FILTER($F7:$F36,(AS7:AS36&gt;0)*($F7:$F36&lt;&gt;""))))-1)*IF(AS2="双",VLOOKUP($A$1,'换码设置'!$A:$C,2,FALSE),IF(AS2="单",VLOOKUP($A$1,'换码设置'!$A:$C,3,FALSE),0))</f>
        <v/>
      </c>
      <c r="AT3" s="0">
        <f>MAX(0,ROWS(UNIQUE(FILTER($F7:$F36,(AT7:AT36&gt;0)*($F7:$F36&lt;&gt;""))))-1)*IF(AT2="双",VLOOKUP($A$1,'换码设置'!$A:$C,2,FALSE),IF(AT2="单",VLOOKUP($A$1,'换码设置'!$A:$C,3,FALSE),0))</f>
        <v/>
      </c>
      <c r="AU3" s="0">
        <f>MAX(0,ROWS(UNIQUE(FILTER($F7:$F36,(AU7:AU36&gt;0)*($F7:$F36&lt;&gt;""))))-1)*IF(AU2="双",VLOOKUP($A$1,'换码设置'!$A:$C,2,FALSE),IF(AU2="单",VLOOKUP($A$1,'换码设置'!$A:$C,3,FALSE),0))</f>
        <v/>
      </c>
      <c r="AV3" s="0">
        <f>MAX(0,ROWS(UNIQUE(FILTER($F7:$F36,(AV7:AV36&gt;0)*($F7:$F36&lt;&gt;""))))-1)*IF(AV2="双",VLOOKUP($A$1,'换码设置'!$A:$C,2,FALSE),IF(AV2="单",VLOOKUP($A$1,'换码设置'!$A:$C,3,FALSE),0))</f>
        <v/>
      </c>
      <c r="AW3" s="0">
        <f>MAX(0,ROWS(UNIQUE(FILTER($F7:$F36,(AW7:AW36&gt;0)*($F7:$F36&lt;&gt;""))))-1)*IF(AW2="双",VLOOKUP($A$1,'换码设置'!$A:$C,2,FALSE),IF(AW2="单",VLOOKUP($A$1,'换码设置'!$A:$C,3,FALSE),0))</f>
        <v/>
      </c>
      <c r="AX3" s="0">
        <f>MAX(0,ROWS(UNIQUE(FILTER($F7:$F36,(AX7:AX36&gt;0)*($F7:$F36&lt;&gt;""))))-1)*IF(AX2="双",VLOOKUP($A$1,'换码设置'!$A:$C,2,FALSE),IF(AX2="单",VLOOKUP($A$1,'换码设置'!$A:$C,3,FALSE),0))</f>
        <v/>
      </c>
      <c r="AY3" s="0">
        <f>MAX(0,ROWS(UNIQUE(FILTER($F7:$F36,(AY7:AY36&gt;0)*($F7:$F36&lt;&gt;""))))-1)*IF(AY2="双",VLOOKUP($A$1,'换码设置'!$A:$C,2,FALSE),IF(AY2="单",VLOOKUP($A$1,'换码设置'!$A:$C,3,FALSE),0))</f>
        <v/>
      </c>
      <c r="AZ3" s="0">
        <f>MAX(0,ROWS(UNIQUE(FILTER($F7:$F36,(AZ7:AZ36&gt;0)*($F7:$F36&lt;&gt;""))))-1)*IF(AZ2="双",VLOOKUP($A$1,'换码设置'!$A:$C,2,FALSE),IF(AZ2="单",VLOOKUP($A$1,'换码设置'!$A:$C,3,FALSE),0))</f>
        <v/>
      </c>
      <c r="BA3" s="0">
        <f>MAX(0,ROWS(UNIQUE(FILTER($F7:$F36,(BA7:BA36&gt;0)*($F7:$F36&lt;&gt;""))))-1)*IF(BA2="双",VLOOKUP($A$1,'换码设置'!$A:$C,2,FALSE),IF(BA2="单",VLOOKUP($A$1,'换码设置'!$A:$C,3,FALSE),0))</f>
        <v/>
      </c>
      <c r="BB3" s="0">
        <f>MAX(0,ROWS(UNIQUE(FILTER($F7:$F36,(BB7:BB36&gt;0)*($F7:$F36&lt;&gt;""))))-1)*IF(BB2="双",VLOOKUP($A$1,'换码设置'!$A:$C,2,FALSE),IF(BB2="单",VLOOKUP($A$1,'换码设置'!$A:$C,3,FALSE),0))</f>
        <v/>
      </c>
      <c r="BC3" s="0">
        <f>MAX(0,ROWS(UNIQUE(FILTER($F7:$F36,(BC7:BC36&gt;0)*($F7:$F36&lt;&gt;""))))-1)*IF(BC2="双",VLOOKUP($A$1,'换码设置'!$A:$C,2,FALSE),IF(BC2="单",VLOOKUP($A$1,'换码设置'!$A:$C,3,FALSE),0))</f>
        <v/>
      </c>
      <c r="BD3" s="0">
        <f>MAX(0,ROWS(UNIQUE(FILTER($F7:$F36,(BD7:BD36&gt;0)*($F7:$F36&lt;&gt;""))))-1)*IF(BD2="双",VLOOKUP($A$1,'换码设置'!$A:$C,2,FALSE),IF(BD2="单",VLOOKUP($A$1,'换码设置'!$A:$C,3,FALSE),0))</f>
        <v/>
      </c>
      <c r="BE3" s="0">
        <f>MAX(0,ROWS(UNIQUE(FILTER($F7:$F36,(BE7:BE36&gt;0)*($F7:$F36&lt;&gt;""))))-1)*IF(BE2="双",VLOOKUP($A$1,'换码设置'!$A:$C,2,FALSE),IF(BE2="单",VLOOKUP($A$1,'换码设置'!$A:$C,3,FALSE),0))</f>
        <v/>
      </c>
      <c r="BF3" s="0">
        <f>MAX(0,ROWS(UNIQUE(FILTER($F7:$F36,(BF7:BF36&gt;0)*($F7:$F36&lt;&gt;""))))-1)*IF(BF2="双",VLOOKUP($A$1,'换码设置'!$A:$C,2,FALSE),IF(BF2="单",VLOOKUP($A$1,'换码设置'!$A:$C,3,FALSE),0))</f>
        <v/>
      </c>
      <c r="BG3" s="0">
        <f>MAX(0,ROWS(UNIQUE(FILTER($F7:$F36,(BG7:BG36&gt;0)*($F7:$F36&lt;&gt;""))))-1)*IF(BG2="双",VLOOKUP($A$1,'换码设置'!$A:$C,2,FALSE),IF(BG2="单",VLOOKUP($A$1,'换码设置'!$A:$C,3,FALSE),0))</f>
        <v/>
      </c>
      <c r="BH3" s="0">
        <f>MAX(0,ROWS(UNIQUE(FILTER($F7:$F36,(BH7:BH36&gt;0)*($F7:$F36&lt;&gt;""))))-1)*IF(BH2="双",VLOOKUP($A$1,'换码设置'!$A:$C,2,FALSE),IF(BH2="单",VLOOKUP($A$1,'换码设置'!$A:$C,3,FALSE),0))</f>
        <v/>
      </c>
      <c r="BI3" s="0">
        <f>MAX(0,ROWS(UNIQUE(FILTER($F7:$F36,(BI7:BI36&gt;0)*($F7:$F36&lt;&gt;""))))-1)*IF(BI2="双",VLOOKUP($A$1,'换码设置'!$A:$C,2,FALSE),IF(BI2="单",VLOOKUP($A$1,'换码设置'!$A:$C,3,FALSE),0))</f>
        <v/>
      </c>
      <c r="BJ3" s="0">
        <f>MAX(0,ROWS(UNIQUE(FILTER($F7:$F36,(BJ7:BJ36&gt;0)*($F7:$F36&lt;&gt;""))))-1)*IF(BJ2="双",VLOOKUP($A$1,'换码设置'!$A:$C,2,FALSE),IF(BJ2="单",VLOOKUP($A$1,'换码设置'!$A:$C,3,FALSE),0))</f>
        <v/>
      </c>
      <c r="BK3" s="0">
        <f>MAX(0,ROWS(UNIQUE(FILTER($F7:$F36,(BK7:BK36&gt;0)*($F7:$F36&lt;&gt;""))))-1)*IF(BK2="双",VLOOKUP($A$1,'换码设置'!$A:$C,2,FALSE),IF(BK2="单",VLOOKUP($A$1,'换码设置'!$A:$C,3,FALSE),0))</f>
        <v/>
      </c>
      <c r="BL3" s="0">
        <f>MAX(0,ROWS(UNIQUE(FILTER($F7:$F36,(BL7:BL36&gt;0)*($F7:$F36&lt;&gt;""))))-1)*IF(BL2="双",VLOOKUP($A$1,'换码设置'!$A:$C,2,FALSE),IF(BL2="单",VLOOKUP($A$1,'换码设置'!$A:$C,3,FALSE),0))</f>
        <v/>
      </c>
      <c r="BM3" s="0">
        <f>MAX(0,ROWS(UNIQUE(FILTER($F7:$F36,(BM7:BM36&gt;0)*($F7:$F36&lt;&gt;""))))-1)*IF(BM2="双",VLOOKUP($A$1,'换码设置'!$A:$C,2,FALSE),IF(BM2="单",VLOOKUP($A$1,'换码设置'!$A:$C,3,FALSE),0))</f>
        <v/>
      </c>
      <c r="BN3" s="0">
        <f>MAX(0,ROWS(UNIQUE(FILTER($F7:$F36,(BN7:BN36&gt;0)*($F7:$F36&lt;&gt;""))))-1)*IF(BN2="双",VLOOKUP($A$1,'换码设置'!$A:$C,2,FALSE),IF(BN2="单",VLOOKUP($A$1,'换码设置'!$A:$C,3,FALSE),0))</f>
        <v/>
      </c>
      <c r="BO3" s="0">
        <f>MAX(0,ROWS(UNIQUE(FILTER($F7:$F36,(BO7:BO36&gt;0)*($F7:$F36&lt;&gt;""))))-1)*IF(BO2="双",VLOOKUP($A$1,'换码设置'!$A:$C,2,FALSE),IF(BO2="单",VLOOKUP($A$1,'换码设置'!$A:$C,3,FALSE),0))</f>
        <v/>
      </c>
      <c r="BP3" s="0">
        <f>MAX(0,ROWS(UNIQUE(FILTER($F7:$F36,(BP7:BP36&gt;0)*($F7:$F36&lt;&gt;""))))-1)*IF(BP2="双",VLOOKUP($A$1,'换码设置'!$A:$C,2,FALSE),IF(BP2="单",VLOOKUP($A$1,'换码设置'!$A:$C,3,FALSE),0))</f>
        <v/>
      </c>
      <c r="BQ3" s="0">
        <f>MAX(0,ROWS(UNIQUE(FILTER($F7:$F36,(BQ7:BQ36&gt;0)*($F7:$F36&lt;&gt;""))))-1)*IF(BQ2="双",VLOOKUP($A$1,'换码设置'!$A:$C,2,FALSE),IF(BQ2="单",VLOOKUP($A$1,'换码设置'!$A:$C,3,FALSE),0))</f>
        <v/>
      </c>
    </row>
    <row r="4" ht="17" customFormat="1" customHeight="1" s="101">
      <c r="K4" s="103" t="n"/>
      <c r="L4" s="5" t="inlineStr">
        <is>
          <t>5月排产计划</t>
        </is>
      </c>
      <c r="M4" s="108">
        <f>SUM(AM5:BP5)</f>
        <v/>
      </c>
      <c r="N4" s="122" t="n">
        <v>46148</v>
      </c>
      <c r="O4" s="122" t="n">
        <v>46149</v>
      </c>
      <c r="P4" s="122" t="n">
        <v>46150</v>
      </c>
      <c r="Q4" s="122" t="n">
        <v>46151</v>
      </c>
      <c r="R4" s="122" t="n">
        <v>46152</v>
      </c>
      <c r="S4" s="122" t="n">
        <v>46153</v>
      </c>
      <c r="T4" s="122" t="n">
        <v>46154</v>
      </c>
      <c r="U4" s="122" t="n">
        <v>46155</v>
      </c>
      <c r="V4" s="122" t="n">
        <v>46156</v>
      </c>
      <c r="W4" s="122" t="n">
        <v>46157</v>
      </c>
      <c r="X4" s="122" t="n">
        <v>46158</v>
      </c>
      <c r="Y4" s="122" t="n">
        <v>46159</v>
      </c>
      <c r="Z4" s="122" t="n">
        <v>46160</v>
      </c>
      <c r="AA4" s="122" t="n">
        <v>46161</v>
      </c>
      <c r="AB4" s="122" t="n">
        <v>46162</v>
      </c>
      <c r="AC4" s="122" t="n">
        <v>46163</v>
      </c>
      <c r="AD4" s="122" t="n">
        <v>46164</v>
      </c>
      <c r="AE4" s="122" t="n">
        <v>46165</v>
      </c>
      <c r="AF4" s="122" t="n">
        <v>46166</v>
      </c>
      <c r="AG4" s="122" t="n">
        <v>46167</v>
      </c>
      <c r="AH4" s="122" t="n">
        <v>46168</v>
      </c>
      <c r="AI4" s="122" t="n">
        <v>46169</v>
      </c>
      <c r="AJ4" s="122" t="n">
        <v>46170</v>
      </c>
      <c r="AK4" s="122" t="n">
        <v>46171</v>
      </c>
      <c r="AL4" s="122" t="n">
        <v>46172</v>
      </c>
      <c r="AM4" s="122" t="n">
        <v>46173</v>
      </c>
      <c r="AN4" s="122" t="n">
        <v>46174</v>
      </c>
      <c r="AO4" s="122" t="n">
        <v>46175</v>
      </c>
      <c r="AP4" s="122" t="n">
        <v>46176</v>
      </c>
      <c r="AQ4" s="122" t="n">
        <v>46177</v>
      </c>
      <c r="AR4" s="122" t="n">
        <v>46178</v>
      </c>
      <c r="AS4" s="122" t="n">
        <v>46179</v>
      </c>
      <c r="AT4" s="122" t="n">
        <v>46180</v>
      </c>
      <c r="AU4" s="122" t="n">
        <v>46181</v>
      </c>
      <c r="AV4" s="122" t="n">
        <v>46182</v>
      </c>
      <c r="AW4" s="122" t="n">
        <v>46183</v>
      </c>
      <c r="AX4" s="122" t="n">
        <v>46184</v>
      </c>
      <c r="AY4" s="122" t="n">
        <v>46185</v>
      </c>
      <c r="AZ4" s="122" t="n">
        <v>46186</v>
      </c>
      <c r="BA4" s="122" t="n">
        <v>46187</v>
      </c>
      <c r="BB4" s="122" t="n">
        <v>46188</v>
      </c>
      <c r="BC4" s="122" t="n">
        <v>46189</v>
      </c>
      <c r="BD4" s="122" t="n">
        <v>46190</v>
      </c>
      <c r="BE4" s="122" t="n">
        <v>46191</v>
      </c>
      <c r="BF4" s="122" t="n">
        <v>46192</v>
      </c>
      <c r="BG4" s="122" t="n">
        <v>46193</v>
      </c>
      <c r="BH4" s="122" t="n">
        <v>46194</v>
      </c>
      <c r="BI4" s="122" t="n">
        <v>46195</v>
      </c>
      <c r="BJ4" s="122" t="n">
        <v>46196</v>
      </c>
      <c r="BK4" s="122" t="n">
        <v>46197</v>
      </c>
      <c r="BL4" s="122" t="n">
        <v>46198</v>
      </c>
      <c r="BM4" s="122" t="n">
        <v>46199</v>
      </c>
      <c r="BN4" s="122" t="n">
        <v>46200</v>
      </c>
      <c r="BO4" s="122" t="n">
        <v>46201</v>
      </c>
      <c r="BP4" s="122" t="n">
        <v>46202</v>
      </c>
    </row>
    <row r="5" ht="15.5" customFormat="1" customHeight="1" s="101">
      <c r="G5" s="101" t="n"/>
      <c r="J5" s="95" t="n"/>
      <c r="K5" s="96" t="n"/>
      <c r="L5" s="5" t="inlineStr">
        <is>
          <t>目前总共订单</t>
        </is>
      </c>
      <c r="M5" s="110">
        <f>SUM(L1:L3)</f>
        <v/>
      </c>
      <c r="N5" s="15">
        <f>IF(N2="单",$K$1,IF(N2="双",$K$2,0))-N3-N6</f>
        <v/>
      </c>
      <c r="O5" s="15">
        <f>IF(O2="单",$K$1,IF(O2="双",$K$2,0))-O3-O6</f>
        <v/>
      </c>
      <c r="P5" s="15">
        <f>IF(P2="单",$K$1,IF(P2="双",$K$2,0))-P3-P6</f>
        <v/>
      </c>
      <c r="Q5" s="15">
        <f>IF(Q2="单",$K$1,IF(Q2="双",$K$2,0))-Q3-Q6</f>
        <v/>
      </c>
      <c r="R5" s="15">
        <f>IF(R2="单",$K$1,IF(R2="双",$K$2,0))-R3-R6</f>
        <v/>
      </c>
      <c r="S5" s="15">
        <f>IF(S2="单",$K$1,IF(S2="双",$K$2,0))-S3-S6</f>
        <v/>
      </c>
      <c r="T5" s="15">
        <f>IF(T2="单",$K$1,IF(T2="双",$K$2,0))-T3-T6</f>
        <v/>
      </c>
      <c r="U5" s="15">
        <f>IF(U2="单",$K$1,IF(U2="双",$K$2,0))-U3-U6</f>
        <v/>
      </c>
      <c r="V5" s="15">
        <f>IF(V2="单",$K$1,IF(V2="双",$K$2,0))-V3-V6</f>
        <v/>
      </c>
      <c r="W5" s="15">
        <f>IF(W2="单",$K$1,IF(W2="双",$K$2,0))-W3-W6</f>
        <v/>
      </c>
      <c r="X5" s="15">
        <f>IF(X2="单",$K$1,IF(X2="双",$K$2,0))-X3-X6</f>
        <v/>
      </c>
      <c r="Y5" s="15">
        <f>IF(Y2="单",$K$1,IF(Y2="双",$K$2,0))-Y3-Y6</f>
        <v/>
      </c>
      <c r="Z5" s="15">
        <f>IF(Z2="单",$K$1,IF(Z2="双",$K$2,0))-Z3-Z6</f>
        <v/>
      </c>
      <c r="AA5" s="15">
        <f>IF(AA2="单",$K$1,IF(AA2="双",$K$2,0))-AA3-AA6</f>
        <v/>
      </c>
      <c r="AB5" s="15">
        <f>IF(AB2="单",$K$1,IF(AB2="双",$K$2,0))-AB3-AB6</f>
        <v/>
      </c>
      <c r="AC5" s="15">
        <f>IF(AC2="单",$K$1,IF(AC2="双",$K$2,0))-AC3-AC6</f>
        <v/>
      </c>
      <c r="AD5" s="15">
        <f>IF(AD2="单",$K$1,IF(AD2="双",$K$2,0))-AD3-AD6</f>
        <v/>
      </c>
      <c r="AE5" s="15">
        <f>IF(AE2="单",$K$1,IF(AE2="双",$K$2,0))-AE3-AE6</f>
        <v/>
      </c>
      <c r="AF5" s="15">
        <f>IF(AF2="单",$K$1,IF(AF2="双",$K$2,0))-AF3-AF6</f>
        <v/>
      </c>
      <c r="AG5" s="15">
        <f>IF(AG2="单",$K$1,IF(AG2="双",$K$2,0))-AG3-AG6</f>
        <v/>
      </c>
      <c r="AH5" s="15">
        <f>IF(AH2="单",$K$1,IF(AH2="双",$K$2,0))-AH3-AH6</f>
        <v/>
      </c>
      <c r="AI5" s="15">
        <f>IF(AI2="单",$K$1,IF(AI2="双",$K$2,0))-AI3-AI6</f>
        <v/>
      </c>
      <c r="AJ5" s="15">
        <f>IF(AJ2="单",$K$1,IF(AJ2="双",$K$2,0))-AJ3-AJ6</f>
        <v/>
      </c>
      <c r="AK5" s="15">
        <f>IF(AK2="单",$K$1,IF(AK2="双",$K$2,0))-AK3-AK6</f>
        <v/>
      </c>
      <c r="AL5" s="15">
        <f>IF(AL2="单",$K$1,IF(AL2="双",$K$2,0))-AL3-AL6</f>
        <v/>
      </c>
      <c r="AM5" s="15">
        <f>IF(AM2="单",$K$1,IF(AM2="双",$K$2,0))-AM3-AM6</f>
        <v/>
      </c>
      <c r="AN5" s="15">
        <f>IF(AN2="单",$K$1,IF(AN2="双",$K$2,0))-AN3-AN6</f>
        <v/>
      </c>
      <c r="AO5" s="15">
        <f>IF(AO2="单",$K$1,IF(AO2="双",$K$2,0))-AO3-AO6</f>
        <v/>
      </c>
      <c r="AP5" s="15">
        <f>IF(AP2="单",$K$1,IF(AP2="双",$K$2,0))-AP3-AP6</f>
        <v/>
      </c>
      <c r="AQ5" s="15">
        <f>IF(AQ2="单",$K$1,IF(AQ2="双",$K$2,0))-AQ3-AQ6</f>
        <v/>
      </c>
      <c r="AR5" s="15">
        <f>IF(AR2="单",$K$1,IF(AR2="双",$K$2,0))-AR3-AR6</f>
        <v/>
      </c>
      <c r="AS5" s="15">
        <f>IF(AS2="单",$K$1,IF(AS2="双",$K$2,0))-AS3-AS6</f>
        <v/>
      </c>
      <c r="AT5" s="15">
        <f>IF(AT2="单",$K$1,IF(AT2="双",$K$2,0))-AT3-AT6</f>
        <v/>
      </c>
      <c r="AU5" s="15">
        <f>IF(AU2="单",$K$1,IF(AU2="双",$K$2,0))-AU3-AU6</f>
        <v/>
      </c>
      <c r="AV5" s="15">
        <f>IF(AV2="单",$K$1,IF(AV2="双",$K$2,0))-AV3-AV6</f>
        <v/>
      </c>
      <c r="AW5" s="15">
        <f>IF(AW2="单",$K$1,IF(AW2="双",$K$2,0))-AW3-AW6</f>
        <v/>
      </c>
      <c r="AX5" s="15">
        <f>IF(AX2="单",$K$1,IF(AX2="双",$K$2,0))-AX3-AX6</f>
        <v/>
      </c>
      <c r="AY5" s="15">
        <f>IF(AY2="单",$K$1,IF(AY2="双",$K$2,0))-AY3-AY6</f>
        <v/>
      </c>
      <c r="AZ5" s="15">
        <f>IF(AZ2="单",$K$1,IF(AZ2="双",$K$2,0))-AZ3-AZ6</f>
        <v/>
      </c>
      <c r="BA5" s="15">
        <f>IF(BA2="单",$K$1,IF(BA2="双",$K$2,0))-BA3-BA6</f>
        <v/>
      </c>
      <c r="BB5" s="15">
        <f>IF(BB2="单",$K$1,IF(BB2="双",$K$2,0))-BB3-BB6</f>
        <v/>
      </c>
      <c r="BC5" s="15">
        <f>IF(BC2="单",$K$1,IF(BC2="双",$K$2,0))-BC3-BC6</f>
        <v/>
      </c>
      <c r="BD5" s="15">
        <f>IF(BD2="单",$K$1,IF(BD2="双",$K$2,0))-BD3-BD6</f>
        <v/>
      </c>
      <c r="BE5" s="15">
        <f>IF(BE2="单",$K$1,IF(BE2="双",$K$2,0))-BE3-BE6</f>
        <v/>
      </c>
      <c r="BF5" s="15">
        <f>IF(BF2="单",$K$1,IF(BF2="双",$K$2,0))-BF3-BF6</f>
        <v/>
      </c>
      <c r="BG5" s="15">
        <f>IF(BG2="单",$K$1,IF(BG2="双",$K$2,0))-BG3-BG6</f>
        <v/>
      </c>
      <c r="BH5" s="15">
        <f>IF(BH2="单",$K$1,IF(BH2="双",$K$2,0))-BH3-BH6</f>
        <v/>
      </c>
      <c r="BI5" s="15">
        <f>IF(BI2="单",$K$1,IF(BI2="双",$K$2,0))-BI3-BI6</f>
        <v/>
      </c>
      <c r="BJ5" s="15">
        <f>IF(BJ2="单",$K$1,IF(BJ2="双",$K$2,0))-BJ3-BJ6</f>
        <v/>
      </c>
      <c r="BK5" s="15">
        <f>IF(BK2="单",$K$1,IF(BK2="双",$K$2,0))-BK3-BK6</f>
        <v/>
      </c>
      <c r="BL5" s="15">
        <f>IF(BL2="单",$K$1,IF(BL2="双",$K$2,0))-BL3-BL6</f>
        <v/>
      </c>
      <c r="BM5" s="15">
        <f>IF(BM2="单",$K$1,IF(BM2="双",$K$2,0))-BM3-BM6</f>
        <v/>
      </c>
      <c r="BN5" s="15">
        <f>IF(BN2="单",$K$1,IF(BN2="双",$K$2,0))-BN3-BN6</f>
        <v/>
      </c>
      <c r="BO5" s="15">
        <f>IF(BO2="单",$K$1,IF(BO2="双",$K$2,0))-BO3-BO6</f>
        <v/>
      </c>
      <c r="BP5" s="15">
        <f>IF(BP2="单",$K$1,IF(BP2="双",$K$2,0))-BP3-BP6</f>
        <v/>
      </c>
      <c r="BQ5" s="0">
        <f>IF(BQ2="单",$K$1,IF(BQ2="双",$K$2,0))-BQ3-BQ6</f>
        <v/>
      </c>
    </row>
    <row r="6" ht="15.5" customHeight="1" s="91">
      <c r="A6" s="11" t="inlineStr">
        <is>
          <t>物料号</t>
        </is>
      </c>
      <c r="B6" s="11" t="inlineStr">
        <is>
          <t>合同号</t>
        </is>
      </c>
      <c r="C6" s="11" t="inlineStr">
        <is>
          <t>合同号</t>
        </is>
      </c>
      <c r="D6" s="11" t="inlineStr">
        <is>
          <t>生产单编号</t>
        </is>
      </c>
      <c r="E6" s="12" t="inlineStr">
        <is>
          <t>产品</t>
        </is>
      </c>
      <c r="F6" t="inlineStr">
        <is>
          <t>尺码</t>
        </is>
      </c>
      <c r="G6" s="97" t="inlineStr">
        <is>
          <t>规格(p*b*z)</t>
        </is>
      </c>
      <c r="H6" s="98" t="n"/>
      <c r="I6" s="111" t="inlineStr">
        <is>
          <t>下单时间</t>
        </is>
      </c>
      <c r="J6" s="112" t="inlineStr">
        <is>
          <t>最晚交货时间</t>
        </is>
      </c>
      <c r="K6" s="15" t="inlineStr">
        <is>
          <t>下单箱数</t>
        </is>
      </c>
      <c r="L6" s="65" t="inlineStr">
        <is>
          <t>下单片数</t>
        </is>
      </c>
      <c r="M6" s="31" t="inlineStr">
        <is>
          <t>剩余排产</t>
        </is>
      </c>
      <c r="N6" s="31">
        <f>SUMPRODUCT($G7:$G9964,$H7:$H9964,N$7:N$9964)</f>
        <v/>
      </c>
      <c r="O6" s="31">
        <f>SUMPRODUCT($G7:$G9964,$H7:$H9964,O$7:O$9964)</f>
        <v/>
      </c>
      <c r="P6" s="31">
        <f>SUMPRODUCT($G7:$G9964,$H7:$H9964,P$7:P$9964)</f>
        <v/>
      </c>
      <c r="Q6" s="31">
        <f>SUMPRODUCT($G7:$G9964,$H7:$H9964,Q$7:Q$9964)</f>
        <v/>
      </c>
      <c r="R6" s="31">
        <f>SUMPRODUCT($G7:$G9964,$H7:$H9964,R$7:R$9964)</f>
        <v/>
      </c>
      <c r="S6" s="31">
        <f>SUMPRODUCT($G7:$G9964,$H7:$H9964,S$7:S$9964)</f>
        <v/>
      </c>
      <c r="T6" s="31">
        <f>SUMPRODUCT($G7:$G9964,$H7:$H9964,T$7:T$9964)</f>
        <v/>
      </c>
      <c r="U6" s="31">
        <f>SUMPRODUCT($G7:$G9964,$H7:$H9964,U$7:U$9964)</f>
        <v/>
      </c>
      <c r="V6" s="31">
        <f>SUMPRODUCT($G7:$G9964,$H7:$H9964,V$7:V$9964)</f>
        <v/>
      </c>
      <c r="W6" s="31">
        <f>SUMPRODUCT($G7:$G9964,$H7:$H9964,W$7:W$9964)</f>
        <v/>
      </c>
      <c r="X6" s="31">
        <f>SUMPRODUCT($G7:$G9964,$H7:$H9964,X$7:X$9964)</f>
        <v/>
      </c>
      <c r="Y6" s="31">
        <f>SUMPRODUCT($G7:$G9964,$H7:$H9964,Y$7:Y$9964)</f>
        <v/>
      </c>
      <c r="Z6" s="31">
        <f>SUMPRODUCT($G7:$G9964,$H7:$H9964,Z$7:Z$9964)</f>
        <v/>
      </c>
      <c r="AA6" s="31">
        <f>SUMPRODUCT($G7:$G9964,$H7:$H9964,AA$7:AA$9964)</f>
        <v/>
      </c>
      <c r="AB6" s="31">
        <f>SUMPRODUCT($G7:$G9964,$H7:$H9964,AB$7:AB$9964)</f>
        <v/>
      </c>
      <c r="AC6" s="31">
        <f>SUMPRODUCT($G7:$G9964,$H7:$H9964,AC$7:AC$9964)</f>
        <v/>
      </c>
      <c r="AD6" s="31">
        <f>SUMPRODUCT($G7:$G9964,$H7:$H9964,AD$7:AD$9964)</f>
        <v/>
      </c>
      <c r="AE6" s="31">
        <f>SUMPRODUCT($G7:$G9964,$H7:$H9964,AE$7:AE$9964)</f>
        <v/>
      </c>
      <c r="AF6" s="31">
        <f>SUMPRODUCT($G7:$G9964,$H7:$H9964,AF$7:AF$9964)</f>
        <v/>
      </c>
      <c r="AG6" s="31">
        <f>SUMPRODUCT($G7:$G9964,$H7:$H9964,AG$7:AG$9964)</f>
        <v/>
      </c>
      <c r="AH6" s="31">
        <f>SUMPRODUCT($G7:$G9964,$H7:$H9964,AH$7:AH$9964)</f>
        <v/>
      </c>
      <c r="AI6" s="31">
        <f>SUMPRODUCT($G7:$G9964,$H7:$H9964,AI$7:AI$9964)</f>
        <v/>
      </c>
      <c r="AJ6" s="31">
        <f>SUMPRODUCT($G7:$G9964,$H7:$H9964,AJ$7:AJ$9964)</f>
        <v/>
      </c>
      <c r="AK6" s="31">
        <f>SUMPRODUCT($G7:$G9964,$H7:$H9964,AK$7:AK$9964)</f>
        <v/>
      </c>
      <c r="AL6" s="31">
        <f>SUMPRODUCT($G7:$G9964,$H7:$H9964,AL$7:AL$9964)</f>
        <v/>
      </c>
      <c r="AM6" s="31">
        <f>SUMPRODUCT($G7:$G9964,$H7:$H9964,AM$7:AM$9964)</f>
        <v/>
      </c>
      <c r="AN6" s="31">
        <f>SUMPRODUCT($G7:$G9964,$H7:$H9964,AN$7:AN$9964)</f>
        <v/>
      </c>
      <c r="AO6" s="31">
        <f>SUMPRODUCT($G7:$G9964,$H7:$H9964,AO$7:AO$9964)</f>
        <v/>
      </c>
      <c r="AP6" s="31">
        <f>SUMPRODUCT($G7:$G9964,$H7:$H9964,AP$7:AP$9964)</f>
        <v/>
      </c>
      <c r="AQ6" s="31">
        <f>SUMPRODUCT($G7:$G9964,$H7:$H9964,AQ$7:AQ$9964)</f>
        <v/>
      </c>
      <c r="AR6" s="31">
        <f>SUMPRODUCT($G7:$G9964,$H7:$H9964,AR$7:AR$9964)</f>
        <v/>
      </c>
      <c r="AS6" s="31">
        <f>SUMPRODUCT($G7:$G9964,$H7:$H9964,AS$7:AS$9964)</f>
        <v/>
      </c>
      <c r="AT6" s="31">
        <f>SUMPRODUCT($G7:$G9964,$H7:$H9964,AT$7:AT$9964)</f>
        <v/>
      </c>
      <c r="AU6" s="31">
        <f>SUMPRODUCT($G7:$G9964,$H7:$H9964,AU$7:AU$9964)</f>
        <v/>
      </c>
      <c r="AV6" s="31">
        <f>SUMPRODUCT($G7:$G9964,$H7:$H9964,AV$7:AV$9964)</f>
        <v/>
      </c>
      <c r="AW6" s="31">
        <f>SUMPRODUCT($G7:$G9964,$H7:$H9964,AW$7:AW$9964)</f>
        <v/>
      </c>
      <c r="AX6" s="31">
        <f>SUMPRODUCT($G7:$G9964,$H7:$H9964,AX$7:AX$9964)</f>
        <v/>
      </c>
      <c r="AY6" s="31">
        <f>SUMPRODUCT($G7:$G9964,$H7:$H9964,AY$7:AY$9964)</f>
        <v/>
      </c>
      <c r="AZ6" s="31">
        <f>SUMPRODUCT($G7:$G9964,$H7:$H9964,AZ$7:AZ$9964)</f>
        <v/>
      </c>
      <c r="BA6" s="31">
        <f>SUMPRODUCT($G7:$G9964,$H7:$H9964,BA$7:BA$9964)</f>
        <v/>
      </c>
      <c r="BB6" s="31">
        <f>SUMPRODUCT($G7:$G9964,$H7:$H9964,BB$7:BB$9964)</f>
        <v/>
      </c>
      <c r="BC6" s="31">
        <f>SUMPRODUCT($G7:$G9964,$H7:$H9964,BC$7:BC$9964)</f>
        <v/>
      </c>
      <c r="BD6" s="31">
        <f>SUMPRODUCT($G7:$G9964,$H7:$H9964,BD$7:BD$9964)</f>
        <v/>
      </c>
      <c r="BE6" s="31">
        <f>SUMPRODUCT($G7:$G9964,$H7:$H9964,BE$7:BE$9964)</f>
        <v/>
      </c>
      <c r="BF6" s="31">
        <f>SUMPRODUCT($G7:$G9964,$H7:$H9964,BF$7:BF$9964)</f>
        <v/>
      </c>
      <c r="BG6" s="31">
        <f>SUMPRODUCT($G7:$G9964,$H7:$H9964,BG$7:BG$9964)</f>
        <v/>
      </c>
      <c r="BH6" s="31">
        <f>SUMPRODUCT($G7:$G9964,$H7:$H9964,BH$7:BH$9964)</f>
        <v/>
      </c>
      <c r="BI6" s="31">
        <f>SUMPRODUCT($G7:$G9964,$H7:$H9964,BI$7:BI$9964)</f>
        <v/>
      </c>
      <c r="BJ6" s="31">
        <f>SUMPRODUCT($G7:$G9964,$H7:$H9964,BJ$7:BJ$9964)</f>
        <v/>
      </c>
      <c r="BK6" s="31">
        <f>SUMPRODUCT($G7:$G9964,$H7:$H9964,BK$7:BK$9964)</f>
        <v/>
      </c>
      <c r="BL6" s="31">
        <f>SUMPRODUCT($G7:$G9964,$H7:$H9964,BL$7:BL$9964)</f>
        <v/>
      </c>
      <c r="BM6" s="31">
        <f>SUMPRODUCT($G7:$G9964,$H7:$H9964,BM$7:BM$9964)</f>
        <v/>
      </c>
      <c r="BN6" s="31">
        <f>SUMPRODUCT($G7:$G9964,$H7:$H9964,BN$7:BN$9964)</f>
        <v/>
      </c>
      <c r="BO6" s="31">
        <f>SUMPRODUCT($G7:$G9964,$H7:$H9964,BO$7:BO$9964)</f>
        <v/>
      </c>
      <c r="BP6" s="31">
        <f>SUMPRODUCT($G7:$G9964,$H7:$H9964,BP$7:BP$9964)</f>
        <v/>
      </c>
      <c r="BQ6">
        <f>SUMPRODUCT($G7:$G9964,$H7:$H9964,BQ$7:BQ$9964)</f>
        <v/>
      </c>
    </row>
    <row r="7" ht="17.5" customHeight="1" s="91">
      <c r="A7" s="26" t="inlineStr">
        <is>
          <t>1.1.01.634</t>
        </is>
      </c>
      <c r="B7" s="20" t="n"/>
      <c r="C7" s="66" t="n"/>
      <c r="D7" s="20" t="inlineStr">
        <is>
          <t>WO-ZZ00019969</t>
        </is>
      </c>
      <c r="E7" s="67" t="inlineStr">
        <is>
          <t>Basic M (20+2)*4</t>
        </is>
      </c>
      <c r="F7" t="inlineStr">
        <is>
          <t>M</t>
        </is>
      </c>
      <c r="G7" s="19" t="n">
        <v>22</v>
      </c>
      <c r="H7" s="19" t="n">
        <v>4</v>
      </c>
      <c r="I7" s="118" t="n"/>
      <c r="J7" s="117" t="n"/>
      <c r="K7" s="19" t="n">
        <v>4071</v>
      </c>
      <c r="L7" s="19">
        <f>F7*G7*J7</f>
        <v/>
      </c>
      <c r="M7" s="26" t="n">
        <v>0</v>
      </c>
      <c r="N7" s="28" t="n">
        <v>2550</v>
      </c>
      <c r="O7" s="28" t="n">
        <v>1521</v>
      </c>
      <c r="P7" s="28" t="n"/>
      <c r="Q7" s="28" t="n"/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  <c r="AA7" s="28" t="n"/>
      <c r="AB7" s="28" t="n"/>
      <c r="AC7" s="28" t="n"/>
      <c r="AD7" s="28" t="n"/>
      <c r="AE7" s="28" t="n"/>
      <c r="AF7" s="28" t="n"/>
      <c r="AG7" s="28" t="n"/>
      <c r="AH7" s="28" t="n"/>
      <c r="AI7" s="28" t="n"/>
      <c r="AJ7" s="28" t="n"/>
      <c r="AK7" s="28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  <c r="BP7" s="28" t="n"/>
    </row>
    <row r="8" ht="17" customHeight="1" s="91">
      <c r="A8" s="35" t="inlineStr">
        <is>
          <t>1.1.01.691</t>
        </is>
      </c>
      <c r="B8" s="35" t="n"/>
      <c r="C8" s="35" t="inlineStr">
        <is>
          <t>NM-202604280001</t>
        </is>
      </c>
      <c r="D8" s="35" t="inlineStr">
        <is>
          <t>WO-ZZ00020684</t>
        </is>
      </c>
      <c r="E8" s="21" t="inlineStr">
        <is>
          <t>崇明红十字会组合装M码2023</t>
        </is>
      </c>
      <c r="F8" t="inlineStr">
        <is>
          <t>M</t>
        </is>
      </c>
      <c r="G8" s="19" t="n">
        <v>10</v>
      </c>
      <c r="H8" s="19" t="n">
        <v>5</v>
      </c>
      <c r="I8" s="116" t="n">
        <v>46140</v>
      </c>
      <c r="J8" s="117" t="n">
        <v>46148</v>
      </c>
      <c r="K8" s="19" t="n">
        <v>90</v>
      </c>
      <c r="L8" s="19">
        <f>F8*G8*J8</f>
        <v/>
      </c>
      <c r="M8" s="19" t="n">
        <v>0</v>
      </c>
      <c r="N8" s="28" t="n"/>
      <c r="O8" s="28" t="n">
        <v>90</v>
      </c>
      <c r="P8" s="28" t="n"/>
      <c r="Q8" s="28" t="n"/>
      <c r="R8" s="28" t="n"/>
      <c r="S8" s="28" t="n"/>
      <c r="T8" s="28" t="n"/>
      <c r="U8" s="28" t="n"/>
      <c r="V8" s="28" t="n"/>
      <c r="W8" s="28" t="n"/>
      <c r="X8" s="28" t="n"/>
      <c r="Y8" s="28" t="n"/>
      <c r="Z8" s="28" t="n"/>
      <c r="AA8" s="28" t="n"/>
      <c r="AB8" s="28" t="n"/>
      <c r="AC8" s="28" t="n"/>
      <c r="AD8" s="28" t="n"/>
      <c r="AE8" s="28" t="n"/>
      <c r="AF8" s="28" t="n"/>
      <c r="AG8" s="28" t="n"/>
      <c r="AH8" s="28" t="n"/>
      <c r="AI8" s="28" t="n"/>
      <c r="AJ8" s="28" t="n"/>
      <c r="AK8" s="28" t="n"/>
      <c r="AL8" s="28" t="n"/>
      <c r="AM8" s="28" t="n"/>
      <c r="AN8" s="28" t="n"/>
      <c r="AO8" s="28" t="n"/>
      <c r="AP8" s="28" t="n"/>
      <c r="AQ8" s="28" t="n"/>
      <c r="AR8" s="28" t="n"/>
      <c r="AS8" s="28" t="n"/>
      <c r="AT8" s="28" t="n"/>
      <c r="AU8" s="28" t="n"/>
      <c r="AV8" s="28" t="n"/>
      <c r="AW8" s="28" t="n"/>
      <c r="AX8" s="28" t="n"/>
      <c r="AY8" s="28" t="n"/>
      <c r="AZ8" s="28" t="n"/>
      <c r="BA8" s="28" t="n"/>
      <c r="BB8" s="28" t="n"/>
      <c r="BC8" s="28" t="n"/>
      <c r="BD8" s="28" t="n"/>
      <c r="BE8" s="28" t="n"/>
      <c r="BF8" s="28" t="n"/>
      <c r="BG8" s="28" t="n"/>
      <c r="BH8" s="28" t="n"/>
      <c r="BI8" s="28" t="n"/>
      <c r="BJ8" s="28" t="n"/>
      <c r="BK8" s="28" t="n"/>
      <c r="BL8" s="28" t="n"/>
      <c r="BM8" s="28" t="n"/>
      <c r="BN8" s="28" t="n"/>
      <c r="BO8" s="28" t="n"/>
      <c r="BP8" s="28" t="n"/>
    </row>
    <row r="9" ht="14" customFormat="1" customHeight="1" s="2">
      <c r="A9" s="19" t="inlineStr">
        <is>
          <t>1.1.01.685</t>
        </is>
      </c>
      <c r="B9" s="19" t="n"/>
      <c r="C9" s="19" t="inlineStr">
        <is>
          <t>DS-20260205-001</t>
        </is>
      </c>
      <c r="D9" s="19" t="inlineStr">
        <is>
          <t>WO-ZZ00020045</t>
        </is>
      </c>
      <c r="E9" s="21" t="inlineStr">
        <is>
          <t>珍琦电商系列基础型成人纸尿裤M码（10片*6包）</t>
        </is>
      </c>
      <c r="F9" t="inlineStr">
        <is>
          <t>M</t>
        </is>
      </c>
      <c r="G9" s="19" t="n">
        <v>10</v>
      </c>
      <c r="H9" s="19" t="n">
        <v>6</v>
      </c>
      <c r="I9" s="116" t="n">
        <v>46058</v>
      </c>
      <c r="J9" s="116" t="n">
        <v>46112</v>
      </c>
      <c r="K9" s="19" t="n">
        <v>1500</v>
      </c>
      <c r="L9" s="19">
        <f>F9*G9*J9</f>
        <v/>
      </c>
      <c r="M9" s="26" t="n">
        <v>0</v>
      </c>
      <c r="N9" s="28" t="n"/>
      <c r="O9" s="28" t="n">
        <v>1434</v>
      </c>
      <c r="P9" s="28" t="n">
        <v>66</v>
      </c>
      <c r="Q9" s="28" t="n"/>
      <c r="R9" s="28" t="n"/>
      <c r="S9" s="28" t="n"/>
      <c r="T9" s="28" t="n"/>
      <c r="U9" s="28" t="n"/>
      <c r="V9" s="28" t="n"/>
      <c r="W9" s="28" t="n"/>
      <c r="X9" s="28" t="n"/>
      <c r="Y9" s="28" t="n"/>
      <c r="Z9" s="28" t="n"/>
      <c r="AA9" s="28" t="n"/>
      <c r="AB9" s="28" t="n"/>
      <c r="AC9" s="28" t="n"/>
      <c r="AD9" s="28" t="n"/>
      <c r="AE9" s="28" t="n"/>
      <c r="AF9" s="28" t="n"/>
      <c r="AG9" s="28" t="n"/>
      <c r="AH9" s="28" t="n"/>
      <c r="AI9" s="28" t="n"/>
      <c r="AJ9" s="28" t="n"/>
      <c r="AK9" s="28" t="n"/>
      <c r="AL9" s="28" t="n"/>
      <c r="AM9" s="28" t="n"/>
      <c r="AN9" s="28" t="n"/>
      <c r="AO9" s="28" t="n"/>
      <c r="AP9" s="28" t="n"/>
      <c r="AQ9" s="28" t="n"/>
      <c r="AR9" s="28" t="n"/>
      <c r="AS9" s="28" t="n"/>
      <c r="AT9" s="28" t="n"/>
      <c r="AU9" s="28" t="n"/>
      <c r="AV9" s="28" t="n"/>
      <c r="AW9" s="28" t="n"/>
      <c r="AX9" s="28" t="n"/>
      <c r="AY9" s="28" t="n"/>
      <c r="AZ9" s="28" t="n"/>
      <c r="BA9" s="28" t="n"/>
      <c r="BB9" s="28" t="n"/>
      <c r="BC9" s="28" t="n"/>
      <c r="BD9" s="28" t="n"/>
      <c r="BE9" s="28" t="n"/>
      <c r="BF9" s="28" t="n"/>
      <c r="BG9" s="28" t="n"/>
      <c r="BH9" s="28" t="n"/>
      <c r="BI9" s="28" t="n"/>
      <c r="BJ9" s="28" t="n"/>
      <c r="BK9" s="28" t="n"/>
      <c r="BL9" s="28" t="n"/>
      <c r="BM9" s="28" t="n"/>
      <c r="BN9" s="28" t="n"/>
      <c r="BO9" s="28" t="n"/>
      <c r="BP9" s="28" t="n"/>
    </row>
    <row r="10" ht="17.5" customHeight="1" s="91">
      <c r="A10" s="19" t="inlineStr">
        <is>
          <t>1.1.01.674</t>
        </is>
      </c>
      <c r="B10" s="19" t="n"/>
      <c r="C10" s="19" t="n"/>
      <c r="D10" s="19" t="inlineStr">
        <is>
          <t>WO-ZZ00020300</t>
        </is>
      </c>
      <c r="E10" s="21" t="inlineStr">
        <is>
          <t>珍琦SUNKISS增强系列成人纸尿裤M码（10片*8包）</t>
        </is>
      </c>
      <c r="F10" t="inlineStr">
        <is>
          <t>M</t>
        </is>
      </c>
      <c r="G10" s="19" t="n">
        <v>10</v>
      </c>
      <c r="H10" s="19" t="n">
        <v>8</v>
      </c>
      <c r="I10" s="116" t="n">
        <v>46094</v>
      </c>
      <c r="J10" s="116" t="n">
        <v>46127</v>
      </c>
      <c r="K10" s="19" t="n">
        <v>500</v>
      </c>
      <c r="L10" s="19">
        <f>F10*G10*J10</f>
        <v/>
      </c>
      <c r="M10" s="26" t="n">
        <v>0</v>
      </c>
      <c r="N10" s="24" t="n"/>
      <c r="O10" s="24" t="n"/>
      <c r="P10" s="24" t="n">
        <v>500</v>
      </c>
      <c r="Q10" s="24" t="n"/>
      <c r="R10" s="24" t="n"/>
      <c r="S10" s="24" t="n"/>
      <c r="T10" s="24" t="n"/>
      <c r="U10" s="24" t="n"/>
      <c r="V10" s="24" t="n"/>
      <c r="W10" s="24" t="n"/>
      <c r="X10" s="24" t="n"/>
      <c r="Y10" s="24" t="n"/>
      <c r="Z10" s="24" t="n"/>
      <c r="AA10" s="24" t="n"/>
      <c r="AB10" s="24" t="n"/>
      <c r="AC10" s="24" t="n"/>
      <c r="AD10" s="24" t="n"/>
      <c r="AE10" s="24" t="n"/>
      <c r="AF10" s="24" t="n"/>
      <c r="AG10" s="24" t="n"/>
      <c r="AH10" s="24" t="n"/>
      <c r="AI10" s="24" t="n"/>
      <c r="AJ10" s="24" t="n"/>
      <c r="AK10" s="24" t="n"/>
      <c r="AL10" s="24" t="n"/>
      <c r="AM10" s="24" t="n"/>
      <c r="AN10" s="24" t="n"/>
      <c r="AO10" s="24" t="n"/>
      <c r="AP10" s="24" t="n"/>
      <c r="AQ10" s="24" t="n"/>
      <c r="AR10" s="24" t="n"/>
      <c r="AS10" s="24" t="n"/>
      <c r="AT10" s="24" t="n"/>
      <c r="AU10" s="24" t="n"/>
      <c r="AV10" s="24" t="n"/>
      <c r="AW10" s="24" t="n"/>
      <c r="AX10" s="24" t="n"/>
      <c r="AY10" s="24" t="n"/>
      <c r="AZ10" s="24" t="n"/>
      <c r="BA10" s="24" t="n"/>
      <c r="BB10" s="24" t="n"/>
      <c r="BC10" s="24" t="n"/>
      <c r="BD10" s="24" t="n"/>
      <c r="BE10" s="24" t="n"/>
      <c r="BF10" s="24" t="n"/>
      <c r="BG10" s="24" t="n"/>
      <c r="BH10" s="24" t="n"/>
      <c r="BI10" s="24" t="n"/>
      <c r="BJ10" s="24" t="n"/>
      <c r="BK10" s="24" t="n"/>
      <c r="BL10" s="24" t="n"/>
      <c r="BM10" s="24" t="n"/>
      <c r="BN10" s="24" t="n"/>
      <c r="BO10" s="24" t="n"/>
      <c r="BP10" s="24" t="n"/>
    </row>
    <row r="11" ht="17.5" customHeight="1" s="91">
      <c r="A11" s="35" t="inlineStr">
        <is>
          <t>1.1.01.687</t>
        </is>
      </c>
      <c r="B11" s="35" t="n"/>
      <c r="C11" s="35" t="inlineStr">
        <is>
          <t>DS-20260402-001</t>
        </is>
      </c>
      <c r="D11" s="35" t="inlineStr">
        <is>
          <t>WO-ZZ00020493</t>
        </is>
      </c>
      <c r="E11" s="21" t="inlineStr">
        <is>
          <t>珍琦电商系列夜用型成人纸尿裤M码（10片*6包）</t>
        </is>
      </c>
      <c r="F11" t="inlineStr">
        <is>
          <t>M</t>
        </is>
      </c>
      <c r="G11" s="19" t="n">
        <v>10</v>
      </c>
      <c r="H11" s="19" t="n">
        <v>6</v>
      </c>
      <c r="I11" s="116" t="n">
        <v>46114</v>
      </c>
      <c r="J11" s="117" t="n">
        <v>46167</v>
      </c>
      <c r="K11" s="19" t="n">
        <v>600</v>
      </c>
      <c r="L11" s="19">
        <f>F11*G11*J11</f>
        <v/>
      </c>
      <c r="M11" s="19" t="n">
        <v>0</v>
      </c>
      <c r="N11" s="28" t="n"/>
      <c r="O11" s="28" t="n"/>
      <c r="P11" s="28" t="n">
        <v>600</v>
      </c>
      <c r="Q11" s="28" t="n"/>
      <c r="R11" s="28" t="n"/>
      <c r="S11" s="28" t="n"/>
      <c r="T11" s="28" t="n"/>
      <c r="U11" s="28" t="n"/>
      <c r="V11" s="28" t="n"/>
      <c r="W11" s="28" t="n"/>
      <c r="X11" s="28" t="n"/>
      <c r="Y11" s="28" t="n"/>
      <c r="Z11" s="28" t="n"/>
      <c r="AA11" s="28" t="n"/>
      <c r="AB11" s="28" t="n"/>
      <c r="AC11" s="28" t="n"/>
      <c r="AD11" s="28" t="n"/>
      <c r="AE11" s="28" t="n"/>
      <c r="AF11" s="28" t="n"/>
      <c r="AG11" s="28" t="n"/>
      <c r="AH11" s="28" t="n"/>
      <c r="AI11" s="28" t="n"/>
      <c r="AJ11" s="28" t="n"/>
      <c r="AK11" s="28" t="n"/>
      <c r="AL11" s="28" t="n"/>
      <c r="AM11" s="28" t="n"/>
      <c r="AN11" s="28" t="n"/>
      <c r="AO11" s="28" t="n"/>
      <c r="AP11" s="28" t="n"/>
      <c r="AQ11" s="28" t="n"/>
      <c r="AR11" s="28" t="n"/>
      <c r="AS11" s="28" t="n"/>
      <c r="AT11" s="28" t="n"/>
      <c r="AU11" s="28" t="n"/>
      <c r="AV11" s="28" t="n"/>
      <c r="AW11" s="28" t="n"/>
      <c r="AX11" s="28" t="n"/>
      <c r="AY11" s="28" t="n"/>
      <c r="AZ11" s="28" t="n"/>
      <c r="BA11" s="28" t="n"/>
      <c r="BB11" s="28" t="n"/>
      <c r="BC11" s="28" t="n"/>
      <c r="BD11" s="28" t="n"/>
      <c r="BE11" s="28" t="n"/>
      <c r="BF11" s="28" t="n"/>
      <c r="BG11" s="28" t="n"/>
      <c r="BH11" s="28" t="n"/>
      <c r="BI11" s="28" t="n"/>
      <c r="BJ11" s="28" t="n"/>
      <c r="BK11" s="28" t="n"/>
      <c r="BL11" s="28" t="n"/>
      <c r="BM11" s="28" t="n"/>
      <c r="BN11" s="28" t="n"/>
      <c r="BO11" s="28" t="n"/>
      <c r="BP11" s="28" t="n"/>
    </row>
    <row r="12" ht="16" customHeight="1" s="91">
      <c r="A12" s="35" t="inlineStr">
        <is>
          <t>1.1.02.713</t>
        </is>
      </c>
      <c r="B12" s="35" t="n"/>
      <c r="C12" s="35" t="inlineStr">
        <is>
          <t>NM-20260417001</t>
        </is>
      </c>
      <c r="D12" s="35" t="inlineStr">
        <is>
          <t>WO-ZZ00020607</t>
        </is>
      </c>
      <c r="E12" s="21" t="inlineStr">
        <is>
          <t>SUNKISS珍琦医用垫单（D型）L码（10片装）</t>
        </is>
      </c>
      <c r="F12" t="inlineStr">
        <is>
          <t>L</t>
        </is>
      </c>
      <c r="G12" s="19" t="n">
        <v>10</v>
      </c>
      <c r="H12" s="19" t="n">
        <v>12</v>
      </c>
      <c r="I12" s="116" t="n">
        <v>46129</v>
      </c>
      <c r="J12" s="117" t="n">
        <v>46159</v>
      </c>
      <c r="K12" s="19" t="n">
        <v>567</v>
      </c>
      <c r="L12" s="19">
        <f>F12*G12*J12</f>
        <v/>
      </c>
      <c r="M12" s="19" t="n">
        <v>0</v>
      </c>
      <c r="N12" s="28" t="n"/>
      <c r="O12" s="28" t="n"/>
      <c r="P12" s="28" t="n">
        <v>567</v>
      </c>
      <c r="Q12" s="28" t="n"/>
      <c r="R12" s="28" t="n"/>
      <c r="S12" s="28" t="n"/>
      <c r="T12" s="28" t="n"/>
      <c r="U12" s="28" t="n"/>
      <c r="V12" s="28" t="n"/>
      <c r="W12" s="28" t="n"/>
      <c r="X12" s="28" t="n"/>
      <c r="Y12" s="28" t="n"/>
      <c r="Z12" s="28" t="n"/>
      <c r="AA12" s="28" t="n"/>
      <c r="AB12" s="28" t="n"/>
      <c r="AC12" s="28" t="n"/>
      <c r="AD12" s="28" t="n"/>
      <c r="AE12" s="28" t="n"/>
      <c r="AF12" s="28" t="n"/>
      <c r="AG12" s="28" t="n"/>
      <c r="AH12" s="28" t="n"/>
      <c r="AI12" s="28" t="n"/>
      <c r="AJ12" s="28" t="n"/>
      <c r="AK12" s="28" t="n"/>
      <c r="AL12" s="28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8" t="n"/>
      <c r="BA12" s="28" t="n"/>
      <c r="BB12" s="28" t="n"/>
      <c r="BC12" s="28" t="n"/>
      <c r="BD12" s="28" t="n"/>
      <c r="BE12" s="28" t="n"/>
      <c r="BF12" s="28" t="n"/>
      <c r="BG12" s="28" t="n"/>
      <c r="BH12" s="28" t="n"/>
      <c r="BI12" s="28" t="n"/>
      <c r="BJ12" s="28" t="n"/>
      <c r="BK12" s="28" t="n"/>
      <c r="BL12" s="28" t="n"/>
      <c r="BM12" s="28" t="n"/>
      <c r="BN12" s="28" t="n"/>
      <c r="BO12" s="28" t="n"/>
      <c r="BP12" s="28" t="n"/>
    </row>
    <row r="13" ht="15.5" customHeight="1" s="91">
      <c r="A13" s="26" t="inlineStr">
        <is>
          <t>1.1.01.697</t>
        </is>
      </c>
      <c r="B13" s="20" t="n"/>
      <c r="C13" s="20" t="n"/>
      <c r="D13" s="68" t="inlineStr">
        <is>
          <t>WO-ZZ00020485</t>
        </is>
      </c>
      <c r="E13" s="67" t="inlineStr">
        <is>
          <t>康宝 成裤电商款 M BASIC 24*2bags</t>
        </is>
      </c>
      <c r="F13" t="inlineStr">
        <is>
          <t>M</t>
        </is>
      </c>
      <c r="G13" s="19" t="n">
        <v>24</v>
      </c>
      <c r="H13" s="19" t="n">
        <v>2</v>
      </c>
      <c r="I13" s="118" t="n"/>
      <c r="J13" s="117" t="n"/>
      <c r="K13" s="19" t="n">
        <v>1000</v>
      </c>
      <c r="L13" s="19">
        <f>F13*G13*J13</f>
        <v/>
      </c>
      <c r="M13" s="26" t="n">
        <v>0</v>
      </c>
      <c r="N13" s="28" t="n"/>
      <c r="O13" s="28" t="n"/>
      <c r="P13" s="28" t="n">
        <v>1000</v>
      </c>
      <c r="Q13" s="28" t="n"/>
      <c r="R13" s="28" t="n"/>
      <c r="S13" s="28" t="n"/>
      <c r="T13" s="28" t="n"/>
      <c r="U13" s="28" t="n"/>
      <c r="V13" s="28" t="n"/>
      <c r="W13" s="28" t="n"/>
      <c r="X13" s="28" t="n"/>
      <c r="Y13" s="28" t="n"/>
      <c r="Z13" s="28" t="n"/>
      <c r="AA13" s="28" t="n"/>
      <c r="AB13" s="28" t="n"/>
      <c r="AC13" s="28" t="n"/>
      <c r="AD13" s="28" t="n"/>
      <c r="AE13" s="28" t="n"/>
      <c r="AF13" s="28" t="n"/>
      <c r="AG13" s="28" t="n"/>
      <c r="AH13" s="28" t="n"/>
      <c r="AI13" s="28" t="n"/>
      <c r="AJ13" s="28" t="n"/>
      <c r="AK13" s="28" t="n"/>
      <c r="AL13" s="28" t="n"/>
      <c r="AM13" s="28" t="n"/>
      <c r="AN13" s="28" t="n"/>
      <c r="AO13" s="28" t="n"/>
      <c r="AP13" s="28" t="n"/>
      <c r="AQ13" s="28" t="n"/>
      <c r="AR13" s="28" t="n"/>
      <c r="AS13" s="28" t="n"/>
      <c r="AT13" s="28" t="n"/>
      <c r="AU13" s="28" t="n"/>
      <c r="AV13" s="28" t="n"/>
      <c r="AW13" s="28" t="n"/>
      <c r="AX13" s="28" t="n"/>
      <c r="AY13" s="28" t="n"/>
      <c r="AZ13" s="28" t="n"/>
      <c r="BA13" s="28" t="n"/>
      <c r="BB13" s="28" t="n"/>
      <c r="BC13" s="28" t="n"/>
      <c r="BD13" s="28" t="n"/>
      <c r="BE13" s="28" t="n"/>
      <c r="BF13" s="28" t="n"/>
      <c r="BG13" s="28" t="n"/>
      <c r="BH13" s="28" t="n"/>
      <c r="BI13" s="28" t="n"/>
      <c r="BJ13" s="28" t="n"/>
      <c r="BK13" s="28" t="n"/>
      <c r="BL13" s="28" t="n"/>
      <c r="BM13" s="28" t="n"/>
      <c r="BN13" s="28" t="n"/>
      <c r="BO13" s="28" t="n"/>
      <c r="BP13" s="28" t="n"/>
    </row>
    <row r="14" ht="15.5" customHeight="1" s="91">
      <c r="A14" s="26" t="inlineStr">
        <is>
          <t>1.1.01.634</t>
        </is>
      </c>
      <c r="B14" s="20" t="n"/>
      <c r="C14" s="66" t="n"/>
      <c r="D14" s="19" t="inlineStr">
        <is>
          <t>WO-ZZ00020537</t>
        </is>
      </c>
      <c r="E14" s="67" t="inlineStr">
        <is>
          <t>Basic M (20+2)*4</t>
        </is>
      </c>
      <c r="F14" t="inlineStr">
        <is>
          <t>M</t>
        </is>
      </c>
      <c r="G14" s="19" t="n">
        <v>22</v>
      </c>
      <c r="H14" s="19" t="n">
        <v>4</v>
      </c>
      <c r="I14" s="118" t="n"/>
      <c r="J14" s="117" t="n"/>
      <c r="K14" s="19" t="n">
        <v>8000</v>
      </c>
      <c r="L14" s="19">
        <f>F14*G14*J14</f>
        <v/>
      </c>
      <c r="M14" s="26" t="n">
        <v>0</v>
      </c>
      <c r="N14" s="28" t="n"/>
      <c r="O14" s="28" t="n"/>
      <c r="P14" s="28" t="n">
        <v>323</v>
      </c>
      <c r="Q14" s="28" t="n">
        <v>2550</v>
      </c>
      <c r="R14" s="28" t="n"/>
      <c r="S14" s="28" t="n">
        <v>2550</v>
      </c>
      <c r="T14" s="28" t="n">
        <v>2550</v>
      </c>
      <c r="U14" s="28" t="n">
        <v>27</v>
      </c>
      <c r="V14" s="28" t="n"/>
      <c r="W14" s="28" t="n"/>
      <c r="X14" s="28" t="n"/>
      <c r="Y14" s="28" t="n"/>
      <c r="Z14" s="28" t="n"/>
      <c r="AA14" s="28" t="n"/>
      <c r="AB14" s="28" t="n"/>
      <c r="AC14" s="28" t="n"/>
      <c r="AD14" s="28" t="n"/>
      <c r="AE14" s="28" t="n"/>
      <c r="AF14" s="28" t="n"/>
      <c r="AG14" s="28" t="n"/>
      <c r="AH14" s="28" t="n"/>
      <c r="AI14" s="28" t="n"/>
      <c r="AJ14" s="28" t="n"/>
      <c r="AK14" s="28" t="n"/>
      <c r="AL14" s="28" t="n"/>
      <c r="AM14" s="28" t="n"/>
      <c r="AN14" s="28" t="n"/>
      <c r="AO14" s="28" t="n"/>
      <c r="AP14" s="28" t="n"/>
      <c r="AQ14" s="28" t="n"/>
      <c r="AR14" s="28" t="n"/>
      <c r="AS14" s="28" t="n"/>
      <c r="AT14" s="28" t="n"/>
      <c r="AU14" s="28" t="n"/>
      <c r="AV14" s="28" t="n"/>
      <c r="AW14" s="28" t="n"/>
      <c r="AX14" s="28" t="n"/>
      <c r="AY14" s="28" t="n"/>
      <c r="AZ14" s="28" t="n"/>
      <c r="BA14" s="28" t="n"/>
      <c r="BB14" s="28" t="n"/>
      <c r="BC14" s="28" t="n"/>
      <c r="BD14" s="28" t="n"/>
      <c r="BE14" s="28" t="n"/>
      <c r="BF14" s="28" t="n"/>
      <c r="BG14" s="28" t="n"/>
      <c r="BH14" s="28" t="n"/>
      <c r="BI14" s="28" t="n"/>
      <c r="BJ14" s="28" t="n"/>
      <c r="BK14" s="28" t="n"/>
      <c r="BL14" s="28" t="n"/>
      <c r="BM14" s="28" t="n"/>
      <c r="BN14" s="28" t="n"/>
      <c r="BO14" s="28" t="n"/>
      <c r="BP14" s="28" t="n"/>
    </row>
    <row r="15" ht="15" customHeight="1" s="91">
      <c r="A15" s="26" t="inlineStr">
        <is>
          <t>1.1.01.653</t>
        </is>
      </c>
      <c r="B15" s="20" t="n"/>
      <c r="C15" s="20" t="n"/>
      <c r="D15" s="19" t="inlineStr">
        <is>
          <t>WO-ZZ00020536</t>
        </is>
      </c>
      <c r="E15" s="67" t="inlineStr">
        <is>
          <t>CARESS BASIC M （10+1）*10 欧式袋</t>
        </is>
      </c>
      <c r="F15" t="inlineStr">
        <is>
          <t>M</t>
        </is>
      </c>
      <c r="G15" s="19" t="n">
        <v>11</v>
      </c>
      <c r="H15" s="19" t="n">
        <v>10</v>
      </c>
      <c r="I15" s="118" t="n"/>
      <c r="J15" s="117" t="n"/>
      <c r="K15" s="19" t="n">
        <v>6000</v>
      </c>
      <c r="L15" s="19">
        <f>F15*G15*J15</f>
        <v/>
      </c>
      <c r="M15" s="26" t="n">
        <v>0</v>
      </c>
      <c r="N15" s="28" t="n"/>
      <c r="O15" s="28" t="n"/>
      <c r="P15" s="28" t="n"/>
      <c r="Q15" s="28" t="n"/>
      <c r="R15" s="28" t="n"/>
      <c r="S15" s="28" t="n"/>
      <c r="T15" s="28" t="n"/>
      <c r="U15" s="28" t="n">
        <v>2018</v>
      </c>
      <c r="V15" s="28" t="n">
        <v>2040</v>
      </c>
      <c r="W15" s="28" t="n">
        <v>1942</v>
      </c>
      <c r="X15" s="28" t="n"/>
      <c r="Y15" s="28" t="n"/>
      <c r="Z15" s="28" t="n"/>
      <c r="AA15" s="28" t="n"/>
      <c r="AB15" s="28" t="n"/>
      <c r="AC15" s="28" t="n"/>
      <c r="AD15" s="28" t="n"/>
      <c r="AE15" s="28" t="n"/>
      <c r="AF15" s="28" t="n"/>
      <c r="AG15" s="28" t="n"/>
      <c r="AH15" s="28" t="n"/>
      <c r="AI15" s="28" t="n"/>
      <c r="AJ15" s="28" t="n"/>
      <c r="AK15" s="28" t="n"/>
      <c r="AL15" s="28" t="n"/>
      <c r="AM15" s="28" t="n"/>
      <c r="AN15" s="28" t="n"/>
      <c r="AO15" s="28" t="n"/>
      <c r="AP15" s="28" t="n"/>
      <c r="AQ15" s="28" t="n"/>
      <c r="AR15" s="28" t="n"/>
      <c r="AS15" s="28" t="n"/>
      <c r="AT15" s="28" t="n"/>
      <c r="AU15" s="28" t="n"/>
      <c r="AV15" s="28" t="n"/>
      <c r="AW15" s="28" t="n"/>
      <c r="AX15" s="28" t="n"/>
      <c r="AY15" s="28" t="n"/>
      <c r="AZ15" s="28" t="n"/>
      <c r="BA15" s="28" t="n"/>
      <c r="BB15" s="28" t="n"/>
      <c r="BC15" s="28" t="n"/>
      <c r="BD15" s="28" t="n"/>
      <c r="BE15" s="28" t="n"/>
      <c r="BF15" s="28" t="n"/>
      <c r="BG15" s="28" t="n"/>
      <c r="BH15" s="28" t="n"/>
      <c r="BI15" s="28" t="n"/>
      <c r="BJ15" s="28" t="n"/>
      <c r="BK15" s="28" t="n"/>
      <c r="BL15" s="28" t="n"/>
      <c r="BM15" s="28" t="n"/>
      <c r="BN15" s="28" t="n"/>
      <c r="BO15" s="28" t="n"/>
      <c r="BP15" s="28" t="n"/>
    </row>
    <row r="16" ht="15.5" customHeight="1" s="91">
      <c r="A16" s="26" t="inlineStr">
        <is>
          <t>1.1.01.349</t>
        </is>
      </c>
      <c r="B16" s="20" t="n"/>
      <c r="C16" s="20" t="n"/>
      <c r="D16" s="35" t="inlineStr">
        <is>
          <t>WO-ZZ00020685</t>
        </is>
      </c>
      <c r="E16" s="67" t="inlineStr">
        <is>
          <t>康宝 成裤M OVERNIGHT</t>
        </is>
      </c>
      <c r="F16" t="inlineStr">
        <is>
          <t>M</t>
        </is>
      </c>
      <c r="G16" s="19" t="n">
        <v>10</v>
      </c>
      <c r="H16" s="19" t="n">
        <v>6</v>
      </c>
      <c r="I16" s="118" t="n"/>
      <c r="J16" s="117" t="n"/>
      <c r="K16" s="19" t="n">
        <v>2500</v>
      </c>
      <c r="L16" s="19">
        <f>F16*G16*J16</f>
        <v/>
      </c>
      <c r="M16" s="26" t="n">
        <v>0</v>
      </c>
      <c r="N16" s="28" t="n"/>
      <c r="O16" s="28" t="n"/>
      <c r="P16" s="28" t="n"/>
      <c r="Q16" s="28" t="n"/>
      <c r="R16" s="28" t="n"/>
      <c r="S16" s="28" t="n"/>
      <c r="T16" s="28" t="n"/>
      <c r="U16" s="28" t="n"/>
      <c r="V16" s="28" t="n"/>
      <c r="W16" s="28" t="n">
        <v>180</v>
      </c>
      <c r="X16" s="28" t="n">
        <v>2320</v>
      </c>
      <c r="Y16" s="28" t="n"/>
      <c r="Z16" s="28" t="n"/>
      <c r="AA16" s="28" t="n"/>
      <c r="AB16" s="28" t="n"/>
      <c r="AC16" s="28" t="n"/>
      <c r="AD16" s="28" t="n"/>
      <c r="AE16" s="28" t="n"/>
      <c r="AF16" s="28" t="n"/>
      <c r="AG16" s="28" t="n"/>
      <c r="AH16" s="28" t="n"/>
      <c r="AI16" s="28" t="n"/>
      <c r="AJ16" s="28" t="n"/>
      <c r="AK16" s="28" t="n"/>
      <c r="AL16" s="28" t="n"/>
      <c r="AM16" s="28" t="n"/>
      <c r="AN16" s="28" t="n"/>
      <c r="AO16" s="28" t="n"/>
      <c r="AP16" s="28" t="n"/>
      <c r="AQ16" s="28" t="n"/>
      <c r="AR16" s="28" t="n"/>
      <c r="AS16" s="28" t="n"/>
      <c r="AT16" s="28" t="n"/>
      <c r="AU16" s="28" t="n"/>
      <c r="AV16" s="28" t="n"/>
      <c r="AW16" s="28" t="n"/>
      <c r="AX16" s="28" t="n"/>
      <c r="AY16" s="28" t="n"/>
      <c r="AZ16" s="28" t="n"/>
      <c r="BA16" s="28" t="n"/>
      <c r="BB16" s="28" t="n"/>
      <c r="BC16" s="28" t="n"/>
      <c r="BD16" s="28" t="n"/>
      <c r="BE16" s="28" t="n"/>
      <c r="BF16" s="28" t="n"/>
      <c r="BG16" s="28" t="n"/>
      <c r="BH16" s="28" t="n"/>
      <c r="BI16" s="28" t="n"/>
      <c r="BJ16" s="28" t="n"/>
      <c r="BK16" s="28" t="n"/>
      <c r="BL16" s="28" t="n"/>
      <c r="BM16" s="28" t="n"/>
      <c r="BN16" s="28" t="n"/>
      <c r="BO16" s="28" t="n"/>
      <c r="BP16" s="28" t="n"/>
    </row>
    <row r="17" ht="16" customHeight="1" s="91">
      <c r="A17" s="26" t="inlineStr">
        <is>
          <t>1.1.02.697</t>
        </is>
      </c>
      <c r="B17" s="20" t="n"/>
      <c r="C17" s="20" t="n"/>
      <c r="D17" s="20" t="inlineStr">
        <is>
          <t>WO-ZZ00020606</t>
        </is>
      </c>
      <c r="E17" s="67" t="inlineStr">
        <is>
          <t>珍琦SUNKISS增强系列成人纸尿裤L码（10片*12包）大白袋装</t>
        </is>
      </c>
      <c r="F17" t="inlineStr">
        <is>
          <t>L</t>
        </is>
      </c>
      <c r="G17" s="19" t="n">
        <v>10</v>
      </c>
      <c r="H17" s="19" t="n">
        <v>12</v>
      </c>
      <c r="I17" s="118" t="n"/>
      <c r="J17" s="117" t="n"/>
      <c r="K17" s="19" t="n">
        <v>880</v>
      </c>
      <c r="L17" s="19">
        <f>F17*G17*J17</f>
        <v/>
      </c>
      <c r="M17" s="26" t="n">
        <v>0</v>
      </c>
      <c r="N17" s="28" t="n"/>
      <c r="O17" s="28" t="n"/>
      <c r="P17" s="28" t="n"/>
      <c r="Q17" s="28" t="n"/>
      <c r="R17" s="28" t="n"/>
      <c r="S17" s="28" t="n"/>
      <c r="T17" s="28" t="n"/>
      <c r="U17" s="28" t="n"/>
      <c r="V17" s="28" t="n"/>
      <c r="W17" s="28" t="n"/>
      <c r="X17" s="28" t="n">
        <v>710</v>
      </c>
      <c r="Y17" s="28" t="n"/>
      <c r="Z17" s="28" t="n">
        <v>170</v>
      </c>
      <c r="AA17" s="28" t="n"/>
      <c r="AB17" s="28" t="n"/>
      <c r="AC17" s="28" t="n"/>
      <c r="AD17" s="28" t="n"/>
      <c r="AE17" s="28" t="n"/>
      <c r="AF17" s="28" t="n"/>
      <c r="AG17" s="28" t="n"/>
      <c r="AH17" s="28" t="n"/>
      <c r="AI17" s="28" t="n"/>
      <c r="AJ17" s="28" t="n"/>
      <c r="AK17" s="28" t="n"/>
      <c r="AL17" s="28" t="n"/>
      <c r="AM17" s="28" t="n"/>
      <c r="AN17" s="28" t="n"/>
      <c r="AO17" s="28" t="n"/>
      <c r="AP17" s="28" t="n"/>
      <c r="AQ17" s="28" t="n"/>
      <c r="AR17" s="28" t="n"/>
      <c r="AS17" s="28" t="n"/>
      <c r="AT17" s="28" t="n"/>
      <c r="AU17" s="28" t="n"/>
      <c r="AV17" s="28" t="n"/>
      <c r="AW17" s="28" t="n"/>
      <c r="AX17" s="28" t="n"/>
      <c r="AY17" s="28" t="n"/>
      <c r="AZ17" s="28" t="n"/>
      <c r="BA17" s="28" t="n"/>
      <c r="BB17" s="28" t="n"/>
      <c r="BC17" s="28" t="n"/>
      <c r="BD17" s="28" t="n"/>
      <c r="BE17" s="28" t="n"/>
      <c r="BF17" s="28" t="n"/>
      <c r="BG17" s="28" t="n"/>
      <c r="BH17" s="28" t="n"/>
      <c r="BI17" s="28" t="n"/>
      <c r="BJ17" s="28" t="n"/>
      <c r="BK17" s="28" t="n"/>
      <c r="BL17" s="28" t="n"/>
      <c r="BM17" s="28" t="n"/>
      <c r="BN17" s="28" t="n"/>
      <c r="BO17" s="28" t="n"/>
      <c r="BP17" s="28" t="n"/>
    </row>
    <row r="18" ht="15.5" customHeight="1" s="91">
      <c r="A18" s="26" t="inlineStr">
        <is>
          <t>1.1.02.395S</t>
        </is>
      </c>
      <c r="B18" s="20" t="n"/>
      <c r="C18" s="20" t="n"/>
      <c r="D18" s="19" t="inlineStr">
        <is>
          <t>WO-ZZ00020534</t>
        </is>
      </c>
      <c r="E18" s="21" t="inlineStr">
        <is>
          <t>CARESS BASIC L(10+1)*10</t>
        </is>
      </c>
      <c r="F18" t="inlineStr">
        <is>
          <t>L</t>
        </is>
      </c>
      <c r="G18" s="19" t="n">
        <v>11</v>
      </c>
      <c r="H18" s="19" t="n">
        <v>10</v>
      </c>
      <c r="I18" s="118" t="n"/>
      <c r="J18" s="117" t="n"/>
      <c r="K18" s="19" t="n">
        <v>4000</v>
      </c>
      <c r="L18" s="19">
        <f>F18*G18*J18</f>
        <v/>
      </c>
      <c r="M18" s="43" t="n">
        <v>0</v>
      </c>
      <c r="N18" s="28" t="n"/>
      <c r="O18" s="28" t="n"/>
      <c r="P18" s="28" t="n"/>
      <c r="Q18" s="28" t="n"/>
      <c r="R18" s="28" t="n"/>
      <c r="S18" s="28" t="n"/>
      <c r="T18" s="28" t="n"/>
      <c r="U18" s="28" t="n"/>
      <c r="V18" s="28" t="n"/>
      <c r="W18" s="28" t="n"/>
      <c r="X18" s="28" t="n"/>
      <c r="Y18" s="28" t="n"/>
      <c r="Z18" s="28" t="n">
        <v>1855</v>
      </c>
      <c r="AA18" s="28" t="n">
        <v>2040</v>
      </c>
      <c r="AB18" s="28" t="n">
        <v>105</v>
      </c>
      <c r="AC18" s="28" t="n"/>
      <c r="AD18" s="28" t="n"/>
      <c r="AE18" s="28" t="n"/>
      <c r="AF18" s="28" t="n"/>
      <c r="AG18" s="28" t="n"/>
      <c r="AH18" s="28" t="n"/>
      <c r="AI18" s="28" t="n"/>
      <c r="AJ18" s="28" t="n"/>
      <c r="AK18" s="28" t="n"/>
      <c r="AL18" s="28" t="n"/>
      <c r="AM18" s="28" t="n"/>
      <c r="AN18" s="28" t="n"/>
      <c r="AO18" s="28" t="n"/>
      <c r="AP18" s="28" t="n"/>
      <c r="AQ18" s="28" t="n"/>
      <c r="AR18" s="28" t="n"/>
      <c r="AS18" s="28" t="n"/>
      <c r="AT18" s="28" t="n"/>
      <c r="AU18" s="28" t="n"/>
      <c r="AV18" s="28" t="n"/>
      <c r="AW18" s="28" t="n"/>
      <c r="AX18" s="28" t="n"/>
      <c r="AY18" s="28" t="n"/>
      <c r="AZ18" s="28" t="n"/>
      <c r="BA18" s="28" t="n"/>
      <c r="BB18" s="28" t="n"/>
      <c r="BC18" s="28" t="n"/>
      <c r="BD18" s="28" t="n"/>
      <c r="BE18" s="28" t="n"/>
      <c r="BF18" s="28" t="n"/>
      <c r="BG18" s="28" t="n"/>
      <c r="BH18" s="28" t="n"/>
      <c r="BI18" s="28" t="n"/>
      <c r="BJ18" s="28" t="n"/>
      <c r="BK18" s="28" t="n"/>
      <c r="BL18" s="28" t="n"/>
      <c r="BM18" s="28" t="n"/>
      <c r="BN18" s="28" t="n"/>
      <c r="BO18" s="28" t="n"/>
      <c r="BP18" s="28" t="n"/>
      <c r="BQ18" s="28" t="n"/>
    </row>
    <row r="19" ht="16" customHeight="1" s="91">
      <c r="A19" s="19" t="inlineStr">
        <is>
          <t>1.1.02.689</t>
        </is>
      </c>
      <c r="B19" s="19" t="n"/>
      <c r="C19" s="19" t="inlineStr">
        <is>
          <t>NM-20260203-001</t>
        </is>
      </c>
      <c r="D19" s="19" t="inlineStr">
        <is>
          <t>WO-ZZ00020419</t>
        </is>
      </c>
      <c r="E19" s="21" t="inlineStr">
        <is>
          <t>珍琦SUNKISS增强系列成人纸尿裤L码（10片*8包）</t>
        </is>
      </c>
      <c r="F19" t="inlineStr">
        <is>
          <t>L</t>
        </is>
      </c>
      <c r="G19" s="19" t="n">
        <v>10</v>
      </c>
      <c r="H19" s="19" t="n">
        <v>8</v>
      </c>
      <c r="I19" s="116" t="n">
        <v>46056</v>
      </c>
      <c r="J19" s="116" t="n">
        <v>46096</v>
      </c>
      <c r="K19" s="19" t="n">
        <v>1500</v>
      </c>
      <c r="L19" s="19">
        <f>F19*G19*J19</f>
        <v/>
      </c>
      <c r="M19" s="26" t="n">
        <v>0</v>
      </c>
      <c r="N19" s="28" t="n"/>
      <c r="O19" s="28" t="n"/>
      <c r="P19" s="28" t="n"/>
      <c r="Q19" s="28" t="n"/>
      <c r="R19" s="28" t="n"/>
      <c r="S19" s="28" t="n"/>
      <c r="T19" s="28" t="n"/>
      <c r="U19" s="28" t="n"/>
      <c r="V19" s="28" t="n"/>
      <c r="W19" s="28" t="n"/>
      <c r="X19" s="28" t="n"/>
      <c r="Y19" s="28" t="n"/>
      <c r="Z19" s="28" t="n"/>
      <c r="AA19" s="28" t="n"/>
      <c r="AB19" s="28" t="n">
        <v>1500</v>
      </c>
      <c r="AC19" s="28" t="n"/>
      <c r="AD19" s="28" t="n"/>
      <c r="AE19" s="28" t="n"/>
      <c r="AF19" s="28" t="n"/>
      <c r="AG19" s="28" t="n"/>
      <c r="AH19" s="28" t="n"/>
      <c r="AI19" s="28" t="n"/>
      <c r="AJ19" s="28" t="n"/>
      <c r="AK19" s="28" t="n"/>
      <c r="AL19" s="28" t="n"/>
      <c r="AM19" s="28" t="n"/>
      <c r="AN19" s="28" t="n"/>
      <c r="AO19" s="28" t="n"/>
      <c r="AP19" s="28" t="n"/>
      <c r="AQ19" s="28" t="n"/>
      <c r="AR19" s="28" t="n"/>
      <c r="AS19" s="28" t="n"/>
      <c r="AT19" s="28" t="n"/>
      <c r="AU19" s="28" t="n"/>
      <c r="AV19" s="28" t="n"/>
      <c r="AW19" s="28" t="n"/>
      <c r="AX19" s="28" t="n"/>
      <c r="AY19" s="28" t="n"/>
      <c r="AZ19" s="28" t="n"/>
      <c r="BA19" s="28" t="n"/>
      <c r="BB19" s="28" t="n"/>
      <c r="BC19" s="28" t="n"/>
      <c r="BD19" s="28" t="n"/>
      <c r="BE19" s="28" t="n"/>
      <c r="BF19" s="28" t="n"/>
      <c r="BG19" s="28" t="n"/>
      <c r="BH19" s="28" t="n"/>
      <c r="BI19" s="28" t="n"/>
      <c r="BJ19" s="28" t="n"/>
      <c r="BK19" s="28" t="n"/>
      <c r="BL19" s="28" t="n"/>
      <c r="BM19" s="28" t="n"/>
      <c r="BN19" s="28" t="n"/>
      <c r="BO19" s="28" t="n"/>
      <c r="BP19" s="28" t="n"/>
    </row>
    <row r="20" ht="15.5" customHeight="1" s="91">
      <c r="A20" s="35" t="inlineStr">
        <is>
          <t>1.1.02.689</t>
        </is>
      </c>
      <c r="B20" s="35" t="n"/>
      <c r="C20" s="35" t="inlineStr">
        <is>
          <t>NM-202604290001</t>
        </is>
      </c>
      <c r="D20" s="35" t="inlineStr">
        <is>
          <t>WO-ZZ00020686</t>
        </is>
      </c>
      <c r="E20" s="21" t="inlineStr">
        <is>
          <t>珍琦SUNKISS增强系列成人纸尿裤L码（10片*8包）</t>
        </is>
      </c>
      <c r="F20" t="inlineStr">
        <is>
          <t>L</t>
        </is>
      </c>
      <c r="G20" s="19" t="n">
        <v>10</v>
      </c>
      <c r="H20" s="19" t="n">
        <v>8</v>
      </c>
      <c r="I20" s="116" t="n">
        <v>46141</v>
      </c>
      <c r="J20" s="117" t="n">
        <v>46171</v>
      </c>
      <c r="K20" s="19" t="n">
        <v>2000</v>
      </c>
      <c r="L20" s="19">
        <f>F20*G20*J20</f>
        <v/>
      </c>
      <c r="M20" s="19" t="n">
        <v>0</v>
      </c>
      <c r="N20" s="28" t="n"/>
      <c r="O20" s="28" t="n"/>
      <c r="P20" s="28" t="n"/>
      <c r="Q20" s="28" t="n"/>
      <c r="R20" s="28" t="n"/>
      <c r="S20" s="28" t="n"/>
      <c r="T20" s="28" t="n"/>
      <c r="U20" s="28" t="n"/>
      <c r="V20" s="28" t="n"/>
      <c r="W20" s="28" t="n"/>
      <c r="X20" s="28" t="n"/>
      <c r="Y20" s="28" t="n"/>
      <c r="Z20" s="28" t="n"/>
      <c r="AA20" s="28" t="n"/>
      <c r="AB20" s="28" t="n">
        <v>1161</v>
      </c>
      <c r="AC20" s="28" t="n">
        <v>839</v>
      </c>
      <c r="AD20" s="28" t="n"/>
      <c r="AE20" s="28" t="n"/>
      <c r="AF20" s="28" t="n"/>
      <c r="AG20" s="28" t="n"/>
      <c r="AH20" s="28" t="n"/>
      <c r="AI20" s="28" t="n"/>
      <c r="AJ20" s="28" t="n"/>
      <c r="AK20" s="28" t="n"/>
      <c r="AL20" s="28" t="n"/>
      <c r="AM20" s="28" t="n"/>
      <c r="AN20" s="28" t="n"/>
      <c r="AO20" s="28" t="n"/>
      <c r="AP20" s="28" t="n"/>
      <c r="AQ20" s="28" t="n"/>
      <c r="AR20" s="28" t="n"/>
      <c r="AS20" s="28" t="n"/>
      <c r="AT20" s="28" t="n"/>
      <c r="AU20" s="28" t="n"/>
      <c r="AV20" s="28" t="n"/>
      <c r="AW20" s="28" t="n"/>
      <c r="AX20" s="28" t="n"/>
      <c r="AY20" s="28" t="n"/>
      <c r="AZ20" s="28" t="n"/>
      <c r="BA20" s="28" t="n"/>
      <c r="BB20" s="28" t="n"/>
      <c r="BC20" s="28" t="n"/>
      <c r="BD20" s="28" t="n"/>
      <c r="BE20" s="28" t="n"/>
      <c r="BF20" s="28" t="n"/>
      <c r="BG20" s="28" t="n"/>
      <c r="BH20" s="28" t="n"/>
      <c r="BI20" s="28" t="n"/>
      <c r="BJ20" s="28" t="n"/>
      <c r="BK20" s="28" t="n"/>
      <c r="BL20" s="28" t="n"/>
      <c r="BM20" s="28" t="n"/>
      <c r="BN20" s="28" t="n"/>
      <c r="BO20" s="28" t="n"/>
      <c r="BP20" s="28" t="n"/>
    </row>
    <row r="21" ht="16" customHeight="1" s="91">
      <c r="A21" s="19" t="inlineStr">
        <is>
          <t>1.1.02.688</t>
        </is>
      </c>
      <c r="B21" s="20" t="n"/>
      <c r="C21" s="19" t="inlineStr">
        <is>
          <t>NM-20260209-001</t>
        </is>
      </c>
      <c r="D21" s="19" t="inlineStr">
        <is>
          <t>WO-ZZ00020423</t>
        </is>
      </c>
      <c r="E21" s="67" t="inlineStr">
        <is>
          <t>贴静舒爽系列成人纸尿裤L码（10片*12包）</t>
        </is>
      </c>
      <c r="F21" t="inlineStr">
        <is>
          <t>L</t>
        </is>
      </c>
      <c r="G21" s="19" t="n">
        <v>10</v>
      </c>
      <c r="H21" s="19" t="n">
        <v>8</v>
      </c>
      <c r="I21" s="116" t="n">
        <v>46059</v>
      </c>
      <c r="J21" s="116" t="n">
        <v>46109</v>
      </c>
      <c r="K21" s="19" t="n">
        <v>2000</v>
      </c>
      <c r="L21" s="19">
        <f>F21*G21*J21</f>
        <v/>
      </c>
      <c r="M21" s="26" t="n">
        <v>0</v>
      </c>
      <c r="N21" s="28" t="n"/>
      <c r="O21" s="28" t="n"/>
      <c r="P21" s="28" t="n"/>
      <c r="Q21" s="28" t="n"/>
      <c r="R21" s="28" t="n"/>
      <c r="S21" s="28" t="n"/>
      <c r="T21" s="28" t="n"/>
      <c r="U21" s="28" t="n"/>
      <c r="V21" s="28" t="n"/>
      <c r="W21" s="28" t="n"/>
      <c r="X21" s="28" t="n"/>
      <c r="Y21" s="28" t="n"/>
      <c r="Z21" s="28" t="n"/>
      <c r="AA21" s="28" t="n"/>
      <c r="AB21" s="28" t="n"/>
      <c r="AC21" s="28" t="n">
        <v>1966</v>
      </c>
      <c r="AD21" s="28" t="n">
        <v>34</v>
      </c>
      <c r="AE21" s="28" t="n"/>
      <c r="AF21" s="28" t="n"/>
      <c r="AG21" s="28" t="n"/>
      <c r="AH21" s="28" t="n"/>
      <c r="AI21" s="28" t="n"/>
      <c r="AJ21" s="28" t="n"/>
      <c r="AK21" s="28" t="n"/>
      <c r="AL21" s="28" t="n"/>
      <c r="AM21" s="28" t="n"/>
      <c r="AN21" s="28" t="n"/>
      <c r="AO21" s="28" t="n"/>
      <c r="AP21" s="28" t="n"/>
      <c r="AQ21" s="28" t="n"/>
      <c r="AR21" s="28" t="n"/>
      <c r="AS21" s="28" t="n"/>
      <c r="AT21" s="28" t="n"/>
      <c r="AU21" s="28" t="n"/>
      <c r="AV21" s="28" t="n"/>
      <c r="AW21" s="28" t="n"/>
      <c r="AX21" s="28" t="n"/>
      <c r="AY21" s="28" t="n"/>
      <c r="AZ21" s="28" t="n"/>
      <c r="BA21" s="28" t="n"/>
      <c r="BB21" s="28" t="n"/>
      <c r="BC21" s="28" t="n"/>
      <c r="BD21" s="28" t="n"/>
      <c r="BE21" s="28" t="n"/>
      <c r="BF21" s="28" t="n"/>
      <c r="BG21" s="28" t="n"/>
      <c r="BH21" s="28" t="n"/>
      <c r="BI21" s="28" t="n"/>
      <c r="BJ21" s="28" t="n"/>
      <c r="BK21" s="28" t="n"/>
      <c r="BL21" s="28" t="n"/>
      <c r="BM21" s="28" t="n"/>
      <c r="BN21" s="28" t="n"/>
      <c r="BO21" s="28" t="n"/>
      <c r="BP21" s="28" t="n"/>
    </row>
    <row r="22" ht="15.5" customHeight="1" s="91">
      <c r="A22" s="26" t="inlineStr">
        <is>
          <t>1.1.02.720</t>
        </is>
      </c>
      <c r="B22" s="20" t="n"/>
      <c r="C22" s="20" t="n"/>
      <c r="D22" s="68" t="inlineStr">
        <is>
          <t>WO-ZZ00020486</t>
        </is>
      </c>
      <c r="E22" s="67" t="inlineStr">
        <is>
          <t>康宝 成裤电商款 L BASIC 24*2bags</t>
        </is>
      </c>
      <c r="F22" t="inlineStr">
        <is>
          <t>L</t>
        </is>
      </c>
      <c r="G22" s="19" t="n">
        <v>24</v>
      </c>
      <c r="H22" s="19" t="n">
        <v>2</v>
      </c>
      <c r="I22" s="118" t="n"/>
      <c r="J22" s="117" t="n"/>
      <c r="K22" s="19" t="n">
        <v>4000</v>
      </c>
      <c r="L22" s="19">
        <f>F22*G22*J22</f>
        <v/>
      </c>
      <c r="M22" s="26" t="n">
        <v>0</v>
      </c>
      <c r="N22" s="28" t="n"/>
      <c r="O22" s="28" t="n"/>
      <c r="P22" s="28" t="n"/>
      <c r="Q22" s="28" t="n"/>
      <c r="R22" s="28" t="n"/>
      <c r="S22" s="28" t="n"/>
      <c r="T22" s="28" t="n"/>
      <c r="U22" s="28" t="n"/>
      <c r="V22" s="28" t="n"/>
      <c r="W22" s="28" t="n"/>
      <c r="X22" s="28" t="n"/>
      <c r="Y22" s="28" t="n"/>
      <c r="Z22" s="28" t="n"/>
      <c r="AA22" s="28" t="n"/>
      <c r="AB22" s="28" t="n"/>
      <c r="AC22" s="28" t="n"/>
      <c r="AD22" s="28" t="n">
        <v>4000</v>
      </c>
      <c r="AE22" s="28" t="n"/>
      <c r="AF22" s="28" t="n"/>
      <c r="AG22" s="28" t="n"/>
      <c r="AH22" s="28" t="n"/>
      <c r="AI22" s="28" t="n"/>
      <c r="AJ22" s="28" t="n"/>
      <c r="AK22" s="28" t="n"/>
      <c r="AL22" s="28" t="n"/>
      <c r="AM22" s="28" t="n"/>
      <c r="AN22" s="28" t="n"/>
      <c r="AO22" s="28" t="n"/>
      <c r="AP22" s="28" t="n"/>
      <c r="AQ22" s="28" t="n"/>
      <c r="AR22" s="28" t="n"/>
      <c r="AS22" s="28" t="n"/>
      <c r="AT22" s="28" t="n"/>
      <c r="AU22" s="28" t="n"/>
      <c r="AV22" s="28" t="n"/>
      <c r="AW22" s="28" t="n"/>
      <c r="AX22" s="28" t="n"/>
      <c r="AY22" s="28" t="n"/>
      <c r="AZ22" s="28" t="n"/>
      <c r="BA22" s="28" t="n"/>
      <c r="BB22" s="28" t="n"/>
      <c r="BC22" s="28" t="n"/>
      <c r="BD22" s="28" t="n"/>
      <c r="BE22" s="28" t="n"/>
      <c r="BF22" s="28" t="n"/>
      <c r="BG22" s="28" t="n"/>
      <c r="BH22" s="28" t="n"/>
      <c r="BI22" s="28" t="n"/>
      <c r="BJ22" s="28" t="n"/>
      <c r="BK22" s="28" t="n"/>
      <c r="BL22" s="28" t="n"/>
      <c r="BM22" s="28" t="n"/>
      <c r="BN22" s="28" t="n"/>
      <c r="BO22" s="28" t="n"/>
      <c r="BP22" s="28" t="n"/>
    </row>
    <row r="23" ht="15.5" customHeight="1" s="91">
      <c r="A23" s="26" t="inlineStr">
        <is>
          <t>1.1.01.634</t>
        </is>
      </c>
      <c r="B23" s="20" t="n"/>
      <c r="C23" s="66" t="n"/>
      <c r="D23" s="20" t="n"/>
      <c r="E23" s="67" t="inlineStr">
        <is>
          <t>Basic M (20+2)*4</t>
        </is>
      </c>
      <c r="F23" t="inlineStr">
        <is>
          <t>M</t>
        </is>
      </c>
      <c r="G23" s="19" t="n">
        <v>22</v>
      </c>
      <c r="H23" s="19" t="n">
        <v>4</v>
      </c>
      <c r="I23" s="118" t="n"/>
      <c r="J23" s="117" t="n"/>
      <c r="K23" s="19" t="n">
        <v>4000</v>
      </c>
      <c r="L23" s="19">
        <f>F23*G23*J23</f>
        <v/>
      </c>
      <c r="M23" s="26" t="n">
        <v>0</v>
      </c>
      <c r="N23" s="28" t="n"/>
      <c r="O23" s="28" t="n"/>
      <c r="P23" s="28" t="n"/>
      <c r="Q23" s="28" t="n"/>
      <c r="R23" s="28" t="n"/>
      <c r="S23" s="28" t="n"/>
      <c r="T23" s="28" t="n"/>
      <c r="U23" s="28" t="n"/>
      <c r="V23" s="28" t="n"/>
      <c r="W23" s="28" t="n"/>
      <c r="X23" s="28" t="n"/>
      <c r="Y23" s="28" t="n"/>
      <c r="Z23" s="28" t="n"/>
      <c r="AA23" s="28" t="n"/>
      <c r="AB23" s="28" t="n"/>
      <c r="AC23" s="28" t="n"/>
      <c r="AD23" s="28" t="n">
        <v>337</v>
      </c>
      <c r="AE23" s="28" t="n">
        <v>2550</v>
      </c>
      <c r="AF23" s="28" t="n"/>
      <c r="AG23" s="28" t="n">
        <v>1113</v>
      </c>
      <c r="AH23" s="28" t="n"/>
      <c r="AI23" s="28" t="n"/>
      <c r="AJ23" s="28" t="n"/>
      <c r="AK23" s="28" t="n"/>
      <c r="AL23" s="28" t="n"/>
      <c r="AM23" s="28" t="n"/>
      <c r="AN23" s="28" t="n"/>
      <c r="AO23" s="28" t="n"/>
      <c r="AP23" s="28" t="n"/>
      <c r="AQ23" s="28" t="n"/>
      <c r="AR23" s="28" t="n"/>
      <c r="AS23" s="28" t="n"/>
      <c r="AT23" s="28" t="n"/>
      <c r="AU23" s="28" t="n"/>
      <c r="AV23" s="28" t="n"/>
      <c r="AW23" s="28" t="n"/>
      <c r="AX23" s="28" t="n"/>
      <c r="AY23" s="28" t="n"/>
      <c r="AZ23" s="28" t="n"/>
      <c r="BA23" s="28" t="n"/>
      <c r="BB23" s="28" t="n"/>
      <c r="BC23" s="28" t="n"/>
      <c r="BD23" s="28" t="n"/>
      <c r="BE23" s="28" t="n"/>
      <c r="BF23" s="28" t="n"/>
      <c r="BG23" s="28" t="n"/>
      <c r="BH23" s="28" t="n"/>
      <c r="BI23" s="28" t="n"/>
      <c r="BJ23" s="28" t="n"/>
      <c r="BK23" s="28" t="n"/>
      <c r="BL23" s="28" t="n"/>
      <c r="BM23" s="28" t="n"/>
      <c r="BN23" s="28" t="n"/>
      <c r="BO23" s="28" t="n"/>
      <c r="BP23" s="28" t="n"/>
    </row>
    <row r="24" ht="15.5" customHeight="1" s="91">
      <c r="A24" s="26" t="inlineStr">
        <is>
          <t>1.1.01.350</t>
        </is>
      </c>
      <c r="B24" s="20" t="n"/>
      <c r="C24" s="66" t="n"/>
      <c r="D24" s="20" t="n"/>
      <c r="E24" s="67" t="inlineStr">
        <is>
          <t>康宝 成裤M DAYUSE</t>
        </is>
      </c>
      <c r="F24" t="inlineStr">
        <is>
          <t>M</t>
        </is>
      </c>
      <c r="G24" s="19" t="n">
        <v>10</v>
      </c>
      <c r="H24" s="19" t="n">
        <v>12</v>
      </c>
      <c r="I24" s="118" t="n"/>
      <c r="J24" s="117" t="n"/>
      <c r="K24" s="19" t="n">
        <v>200</v>
      </c>
      <c r="L24" s="19">
        <f>F24*G24*J24</f>
        <v/>
      </c>
      <c r="M24" s="26" t="n">
        <v>0</v>
      </c>
      <c r="N24" s="28" t="n"/>
      <c r="O24" s="28" t="n"/>
      <c r="P24" s="28" t="n"/>
      <c r="Q24" s="28" t="n"/>
      <c r="R24" s="28" t="n"/>
      <c r="S24" s="28" t="n"/>
      <c r="T24" s="28" t="n"/>
      <c r="U24" s="28" t="n"/>
      <c r="V24" s="28" t="n"/>
      <c r="W24" s="28" t="n"/>
      <c r="X24" s="28" t="n"/>
      <c r="Y24" s="28" t="n"/>
      <c r="Z24" s="28" t="n"/>
      <c r="AA24" s="28" t="n"/>
      <c r="AB24" s="28" t="n"/>
      <c r="AC24" s="28" t="n"/>
      <c r="AD24" s="28" t="n"/>
      <c r="AE24" s="28" t="n"/>
      <c r="AF24" s="28" t="n"/>
      <c r="AG24" s="28" t="n">
        <v>200</v>
      </c>
      <c r="AH24" s="28" t="n"/>
      <c r="AI24" s="28" t="n"/>
      <c r="AJ24" s="28" t="n"/>
      <c r="AK24" s="28" t="n"/>
      <c r="AL24" s="28" t="n"/>
      <c r="AM24" s="28" t="n"/>
      <c r="AN24" s="28" t="n"/>
      <c r="AO24" s="28" t="n"/>
      <c r="AP24" s="28" t="n"/>
      <c r="AQ24" s="28" t="n"/>
      <c r="AR24" s="28" t="n"/>
      <c r="AS24" s="28" t="n"/>
      <c r="AT24" s="28" t="n"/>
      <c r="AU24" s="28" t="n"/>
      <c r="AV24" s="28" t="n"/>
      <c r="AW24" s="28" t="n"/>
      <c r="AX24" s="28" t="n"/>
      <c r="AY24" s="28" t="n"/>
      <c r="AZ24" s="28" t="n"/>
      <c r="BA24" s="28" t="n"/>
      <c r="BB24" s="28" t="n"/>
      <c r="BC24" s="28" t="n"/>
      <c r="BD24" s="28" t="n"/>
      <c r="BE24" s="28" t="n"/>
      <c r="BF24" s="28" t="n"/>
      <c r="BG24" s="28" t="n"/>
      <c r="BH24" s="28" t="n"/>
      <c r="BI24" s="28" t="n"/>
      <c r="BJ24" s="28" t="n"/>
      <c r="BK24" s="28" t="n"/>
      <c r="BL24" s="28" t="n"/>
      <c r="BM24" s="28" t="n"/>
      <c r="BN24" s="28" t="n"/>
      <c r="BO24" s="28" t="n"/>
      <c r="BP24" s="28" t="n"/>
    </row>
    <row r="25" ht="15.5" customHeight="1" s="91">
      <c r="A25" s="26" t="inlineStr">
        <is>
          <t>1.1.01.351</t>
        </is>
      </c>
      <c r="B25" s="20" t="n"/>
      <c r="C25" s="66" t="n"/>
      <c r="D25" s="20" t="n"/>
      <c r="E25" s="67" t="inlineStr">
        <is>
          <t>康宝 成裤M 散片</t>
        </is>
      </c>
      <c r="F25" t="inlineStr">
        <is>
          <t>M</t>
        </is>
      </c>
      <c r="G25" s="19" t="n">
        <v>60</v>
      </c>
      <c r="H25" s="19" t="n">
        <v>1</v>
      </c>
      <c r="I25" s="118" t="n"/>
      <c r="J25" s="117" t="n"/>
      <c r="K25" s="19" t="n">
        <v>2500</v>
      </c>
      <c r="L25" s="19">
        <f>F25*G25*J25</f>
        <v/>
      </c>
      <c r="M25" s="26" t="n">
        <v>0</v>
      </c>
      <c r="N25" s="28" t="n"/>
      <c r="O25" s="28" t="n"/>
      <c r="P25" s="28" t="n"/>
      <c r="Q25" s="28" t="n"/>
      <c r="R25" s="28" t="n"/>
      <c r="S25" s="28" t="n"/>
      <c r="T25" s="28" t="n"/>
      <c r="U25" s="28" t="n"/>
      <c r="V25" s="28" t="n"/>
      <c r="W25" s="28" t="n"/>
      <c r="X25" s="28" t="n"/>
      <c r="Y25" s="28" t="n"/>
      <c r="Z25" s="28" t="n"/>
      <c r="AA25" s="28" t="n"/>
      <c r="AB25" s="28" t="n"/>
      <c r="AC25" s="28" t="n"/>
      <c r="AD25" s="28" t="n"/>
      <c r="AE25" s="28" t="n"/>
      <c r="AF25" s="28" t="n"/>
      <c r="AG25" s="28" t="n">
        <v>1708</v>
      </c>
      <c r="AH25" s="28" t="n">
        <v>792</v>
      </c>
      <c r="AI25" s="28" t="n"/>
      <c r="AJ25" s="28" t="n"/>
      <c r="AK25" s="28" t="n"/>
      <c r="AL25" s="28" t="n"/>
      <c r="AM25" s="28" t="n"/>
      <c r="AN25" s="28" t="n"/>
      <c r="AO25" s="28" t="n"/>
      <c r="AP25" s="28" t="n"/>
      <c r="AQ25" s="28" t="n"/>
      <c r="AR25" s="28" t="n"/>
      <c r="AS25" s="28" t="n"/>
      <c r="AT25" s="28" t="n"/>
      <c r="AU25" s="28" t="n"/>
      <c r="AV25" s="28" t="n"/>
      <c r="AW25" s="28" t="n"/>
      <c r="AX25" s="28" t="n"/>
      <c r="AY25" s="28" t="n"/>
      <c r="AZ25" s="28" t="n"/>
      <c r="BA25" s="28" t="n"/>
      <c r="BB25" s="28" t="n"/>
      <c r="BC25" s="28" t="n"/>
      <c r="BD25" s="28" t="n"/>
      <c r="BE25" s="28" t="n"/>
      <c r="BF25" s="28" t="n"/>
      <c r="BG25" s="28" t="n"/>
      <c r="BH25" s="28" t="n"/>
      <c r="BI25" s="28" t="n"/>
      <c r="BJ25" s="28" t="n"/>
      <c r="BK25" s="28" t="n"/>
      <c r="BL25" s="28" t="n"/>
      <c r="BM25" s="28" t="n"/>
      <c r="BN25" s="28" t="n"/>
      <c r="BO25" s="28" t="n"/>
      <c r="BP25" s="28" t="n"/>
    </row>
    <row r="26" ht="15.5" customHeight="1" s="91">
      <c r="A26" s="26" t="inlineStr">
        <is>
          <t>1.1.01.634</t>
        </is>
      </c>
      <c r="B26" s="20" t="n"/>
      <c r="C26" s="66" t="n"/>
      <c r="D26" s="20" t="n"/>
      <c r="E26" s="67" t="inlineStr">
        <is>
          <t>Basic M (20+2)*4</t>
        </is>
      </c>
      <c r="F26" t="inlineStr">
        <is>
          <t>M</t>
        </is>
      </c>
      <c r="G26" s="19" t="n">
        <v>22</v>
      </c>
      <c r="H26" s="19" t="n">
        <v>4</v>
      </c>
      <c r="I26" s="118" t="n"/>
      <c r="J26" s="117" t="n"/>
      <c r="K26" s="19" t="n">
        <v>8000</v>
      </c>
      <c r="L26" s="19">
        <f>F26*G26*J26</f>
        <v/>
      </c>
      <c r="M26" s="26" t="n">
        <v>0</v>
      </c>
      <c r="N26" s="28" t="n"/>
      <c r="O26" s="28" t="n"/>
      <c r="P26" s="28" t="n"/>
      <c r="Q26" s="28" t="n"/>
      <c r="R26" s="28" t="n"/>
      <c r="S26" s="28" t="n"/>
      <c r="T26" s="28" t="n"/>
      <c r="U26" s="28" t="n"/>
      <c r="V26" s="28" t="n"/>
      <c r="W26" s="28" t="n"/>
      <c r="X26" s="28" t="n"/>
      <c r="Y26" s="28" t="n"/>
      <c r="Z26" s="28" t="n"/>
      <c r="AA26" s="28" t="n"/>
      <c r="AB26" s="28" t="n"/>
      <c r="AC26" s="28" t="n"/>
      <c r="AD26" s="28" t="n"/>
      <c r="AE26" s="28" t="n"/>
      <c r="AF26" s="28" t="n"/>
      <c r="AG26" s="28" t="n"/>
      <c r="AH26" s="28" t="n">
        <v>2010</v>
      </c>
      <c r="AI26" s="28" t="n">
        <v>2550</v>
      </c>
      <c r="AJ26" s="28" t="n">
        <v>2550</v>
      </c>
      <c r="AK26" s="28" t="n">
        <v>890</v>
      </c>
      <c r="AL26" s="28" t="n"/>
      <c r="AM26" s="28" t="n"/>
      <c r="AN26" s="28" t="n"/>
      <c r="AO26" s="28" t="n"/>
      <c r="AP26" s="28" t="n"/>
      <c r="AQ26" s="28" t="n"/>
      <c r="AR26" s="28" t="n"/>
      <c r="AS26" s="28" t="n"/>
      <c r="AT26" s="28" t="n"/>
      <c r="AU26" s="28" t="n"/>
      <c r="AV26" s="28" t="n"/>
      <c r="AW26" s="28" t="n"/>
      <c r="AX26" s="28" t="n"/>
      <c r="AY26" s="28" t="n"/>
      <c r="AZ26" s="28" t="n"/>
      <c r="BA26" s="28" t="n"/>
      <c r="BB26" s="28" t="n"/>
      <c r="BC26" s="28" t="n"/>
      <c r="BD26" s="28" t="n"/>
      <c r="BE26" s="28" t="n"/>
      <c r="BF26" s="28" t="n"/>
      <c r="BG26" s="28" t="n"/>
      <c r="BH26" s="28" t="n"/>
      <c r="BI26" s="28" t="n"/>
      <c r="BJ26" s="28" t="n"/>
      <c r="BK26" s="28" t="n"/>
      <c r="BL26" s="28" t="n"/>
      <c r="BM26" s="28" t="n"/>
      <c r="BN26" s="28" t="n"/>
      <c r="BO26" s="28" t="n"/>
      <c r="BP26" s="28" t="n"/>
    </row>
    <row r="27" ht="17" customHeight="1" s="91">
      <c r="A27" s="26" t="inlineStr">
        <is>
          <t>1.1.01.653</t>
        </is>
      </c>
      <c r="B27" s="20" t="n"/>
      <c r="C27" s="20" t="n"/>
      <c r="D27" s="19" t="n"/>
      <c r="E27" s="67" t="inlineStr">
        <is>
          <t>CARESS BASIC M （10+1）*10 欧式袋</t>
        </is>
      </c>
      <c r="F27" t="inlineStr">
        <is>
          <t>M</t>
        </is>
      </c>
      <c r="G27" s="19" t="n">
        <v>11</v>
      </c>
      <c r="H27" s="19" t="n">
        <v>10</v>
      </c>
      <c r="I27" s="118" t="n"/>
      <c r="J27" s="117" t="n"/>
      <c r="K27" s="19" t="n">
        <v>4000</v>
      </c>
      <c r="L27" s="19">
        <f>F27*G27*J27</f>
        <v/>
      </c>
      <c r="M27" s="26" t="n">
        <v>0</v>
      </c>
      <c r="N27" s="28" t="n"/>
      <c r="O27" s="28" t="n"/>
      <c r="P27" s="28" t="n"/>
      <c r="Q27" s="28" t="n"/>
      <c r="R27" s="28" t="n"/>
      <c r="S27" s="28" t="n"/>
      <c r="T27" s="28" t="n"/>
      <c r="U27" s="28" t="n"/>
      <c r="V27" s="28" t="n"/>
      <c r="W27" s="28" t="n"/>
      <c r="X27" s="28" t="n"/>
      <c r="Y27" s="28" t="n"/>
      <c r="Z27" s="28" t="n"/>
      <c r="AA27" s="28" t="n"/>
      <c r="AB27" s="28" t="n"/>
      <c r="AC27" s="28" t="n"/>
      <c r="AD27" s="28" t="n"/>
      <c r="AE27" s="28" t="n"/>
      <c r="AF27" s="28" t="n"/>
      <c r="AG27" s="28" t="n"/>
      <c r="AH27" s="28" t="n"/>
      <c r="AI27" s="28" t="n"/>
      <c r="AJ27" s="28" t="n"/>
      <c r="AK27" s="28" t="n">
        <v>1328</v>
      </c>
      <c r="AL27" s="28" t="n">
        <v>2040</v>
      </c>
      <c r="AM27" s="28" t="n"/>
      <c r="AN27" s="28" t="n">
        <v>632</v>
      </c>
      <c r="AO27" s="28" t="n"/>
      <c r="AP27" s="28" t="n"/>
      <c r="AQ27" s="28" t="n"/>
      <c r="AR27" s="28" t="n"/>
      <c r="AS27" s="28" t="n"/>
      <c r="AT27" s="28" t="n"/>
      <c r="AU27" s="28" t="n"/>
      <c r="AV27" s="28" t="n"/>
      <c r="AW27" s="28" t="n"/>
      <c r="AX27" s="28" t="n"/>
      <c r="AY27" s="28" t="n"/>
      <c r="AZ27" s="28" t="n"/>
      <c r="BA27" s="28" t="n"/>
      <c r="BB27" s="28" t="n"/>
      <c r="BC27" s="28" t="n"/>
      <c r="BD27" s="28" t="n"/>
      <c r="BE27" s="28" t="n"/>
      <c r="BF27" s="28" t="n"/>
      <c r="BG27" s="28" t="n"/>
      <c r="BH27" s="28" t="n"/>
      <c r="BI27" s="28" t="n"/>
      <c r="BJ27" s="28" t="n"/>
      <c r="BK27" s="28" t="n"/>
      <c r="BL27" s="28" t="n"/>
      <c r="BM27" s="28" t="n"/>
      <c r="BN27" s="28" t="n"/>
      <c r="BO27" s="28" t="n"/>
      <c r="BP27" s="28" t="n"/>
    </row>
    <row r="28" ht="17.5" customHeight="1" s="91">
      <c r="A28" s="35" t="inlineStr">
        <is>
          <t>1.1.01.686</t>
        </is>
      </c>
      <c r="B28" s="35" t="n"/>
      <c r="C28" s="35" t="inlineStr">
        <is>
          <t>DS-20260402-001</t>
        </is>
      </c>
      <c r="D28" s="35" t="inlineStr">
        <is>
          <t>WO-ZZ00020491</t>
        </is>
      </c>
      <c r="E28" s="21" t="inlineStr">
        <is>
          <t>珍琦电商系列增强型成人纸尿裤M码（10片*8包）</t>
        </is>
      </c>
      <c r="F28" t="inlineStr">
        <is>
          <t>M</t>
        </is>
      </c>
      <c r="G28" s="19" t="n">
        <v>10</v>
      </c>
      <c r="H28" s="19" t="n">
        <v>8</v>
      </c>
      <c r="I28" s="116" t="n">
        <v>46114</v>
      </c>
      <c r="J28" s="117" t="n">
        <v>46157</v>
      </c>
      <c r="K28" s="19" t="n">
        <v>200</v>
      </c>
      <c r="L28" s="19">
        <f>F28*G28*J28</f>
        <v/>
      </c>
      <c r="M28" s="19" t="n">
        <v>0</v>
      </c>
      <c r="N28" s="28" t="n"/>
      <c r="O28" s="28" t="n"/>
      <c r="P28" s="28" t="n"/>
      <c r="Q28" s="28" t="n"/>
      <c r="R28" s="28" t="n"/>
      <c r="S28" s="28" t="n"/>
      <c r="T28" s="28" t="n"/>
      <c r="U28" s="28" t="n"/>
      <c r="V28" s="28" t="n"/>
      <c r="W28" s="28" t="n"/>
      <c r="X28" s="28" t="n"/>
      <c r="Y28" s="28" t="n"/>
      <c r="Z28" s="28" t="n"/>
      <c r="AA28" s="28" t="n"/>
      <c r="AB28" s="28" t="n"/>
      <c r="AC28" s="28" t="n"/>
      <c r="AD28" s="28" t="n"/>
      <c r="AE28" s="28" t="n"/>
      <c r="AF28" s="28" t="n"/>
      <c r="AG28" s="28" t="n"/>
      <c r="AH28" s="28" t="n"/>
      <c r="AI28" s="28" t="n"/>
      <c r="AJ28" s="28" t="n"/>
      <c r="AK28" s="28" t="n"/>
      <c r="AL28" s="28" t="n"/>
      <c r="AM28" s="28" t="n"/>
      <c r="AN28" s="28" t="n">
        <v>200</v>
      </c>
      <c r="AO28" s="28" t="n"/>
      <c r="AP28" s="28" t="n"/>
      <c r="AQ28" s="28" t="n"/>
      <c r="AR28" s="28" t="n"/>
      <c r="AS28" s="28" t="n"/>
      <c r="AT28" s="28" t="n"/>
      <c r="AU28" s="28" t="n"/>
      <c r="AV28" s="28" t="n"/>
      <c r="AW28" s="28" t="n"/>
      <c r="AX28" s="28" t="n"/>
      <c r="AY28" s="28" t="n"/>
      <c r="AZ28" s="28" t="n"/>
      <c r="BA28" s="28" t="n"/>
      <c r="BB28" s="28" t="n"/>
      <c r="BC28" s="28" t="n"/>
      <c r="BD28" s="28" t="n"/>
      <c r="BE28" s="28" t="n"/>
      <c r="BF28" s="28" t="n"/>
      <c r="BG28" s="28" t="n"/>
      <c r="BH28" s="28" t="n"/>
      <c r="BI28" s="28" t="n"/>
      <c r="BJ28" s="28" t="n"/>
      <c r="BK28" s="28" t="n"/>
      <c r="BL28" s="28" t="n"/>
      <c r="BM28" s="28" t="n"/>
      <c r="BN28" s="28" t="n"/>
      <c r="BO28" s="28" t="n"/>
      <c r="BP28" s="28" t="n"/>
    </row>
    <row r="29" ht="17.5" customHeight="1" s="91">
      <c r="A29" s="35" t="inlineStr">
        <is>
          <t>1.1.02.701</t>
        </is>
      </c>
      <c r="B29" s="35" t="n"/>
      <c r="C29" s="35" t="inlineStr">
        <is>
          <t>DS-20260402-001</t>
        </is>
      </c>
      <c r="D29" s="35" t="inlineStr">
        <is>
          <t>WO-ZZ00020489</t>
        </is>
      </c>
      <c r="E29" s="21" t="inlineStr">
        <is>
          <t>珍琦电商系列基础型成人纸尿裤L码（10片*6包）</t>
        </is>
      </c>
      <c r="F29" t="inlineStr">
        <is>
          <t>L</t>
        </is>
      </c>
      <c r="G29" s="19" t="n">
        <v>10</v>
      </c>
      <c r="H29" s="19" t="n">
        <v>6</v>
      </c>
      <c r="I29" s="116" t="n">
        <v>46114</v>
      </c>
      <c r="J29" s="117" t="n">
        <v>46157</v>
      </c>
      <c r="K29" s="19" t="n">
        <v>2300</v>
      </c>
      <c r="L29" s="19">
        <f>F29*G29*J29</f>
        <v/>
      </c>
      <c r="M29" s="19" t="n">
        <v>0</v>
      </c>
      <c r="N29" s="28" t="n"/>
      <c r="O29" s="28" t="n"/>
      <c r="P29" s="28" t="n"/>
      <c r="Q29" s="28" t="n"/>
      <c r="R29" s="28" t="n"/>
      <c r="S29" s="28" t="n"/>
      <c r="T29" s="28" t="n"/>
      <c r="U29" s="28" t="n"/>
      <c r="V29" s="28" t="n"/>
      <c r="W29" s="28" t="n"/>
      <c r="X29" s="28" t="n"/>
      <c r="Y29" s="28" t="n"/>
      <c r="Z29" s="28" t="n"/>
      <c r="AA29" s="28" t="n"/>
      <c r="AB29" s="28" t="n"/>
      <c r="AC29" s="28" t="n"/>
      <c r="AD29" s="28" t="n"/>
      <c r="AE29" s="28" t="n"/>
      <c r="AF29" s="28" t="n"/>
      <c r="AG29" s="28" t="n"/>
      <c r="AH29" s="28" t="n"/>
      <c r="AI29" s="28" t="n"/>
      <c r="AJ29" s="28" t="n"/>
      <c r="AK29" s="28" t="n"/>
      <c r="AL29" s="28" t="n"/>
      <c r="AM29" s="28" t="n"/>
      <c r="AN29" s="28" t="n">
        <v>2300</v>
      </c>
      <c r="AO29" s="28" t="n"/>
      <c r="AP29" s="28" t="n"/>
      <c r="AQ29" s="28" t="n"/>
      <c r="AR29" s="28" t="n"/>
      <c r="AS29" s="28" t="n"/>
      <c r="AT29" s="28" t="n"/>
      <c r="AU29" s="28" t="n"/>
      <c r="AV29" s="28" t="n"/>
      <c r="AW29" s="28" t="n"/>
      <c r="AX29" s="28" t="n"/>
      <c r="AY29" s="28" t="n"/>
      <c r="AZ29" s="28" t="n"/>
      <c r="BA29" s="28" t="n"/>
      <c r="BB29" s="28" t="n"/>
      <c r="BC29" s="28" t="n"/>
      <c r="BD29" s="28" t="n"/>
      <c r="BE29" s="28" t="n"/>
      <c r="BF29" s="28" t="n"/>
      <c r="BG29" s="28" t="n"/>
      <c r="BH29" s="28" t="n"/>
      <c r="BI29" s="28" t="n"/>
      <c r="BJ29" s="28" t="n"/>
      <c r="BK29" s="28" t="n"/>
      <c r="BL29" s="28" t="n"/>
      <c r="BM29" s="28" t="n"/>
      <c r="BN29" s="28" t="n"/>
      <c r="BO29" s="28" t="n"/>
      <c r="BP29" s="28" t="n"/>
    </row>
    <row r="30" ht="17.5" customHeight="1" s="91">
      <c r="A30" s="35" t="inlineStr">
        <is>
          <t>1.1.02.702</t>
        </is>
      </c>
      <c r="B30" s="35" t="n"/>
      <c r="C30" s="35" t="inlineStr">
        <is>
          <t>DS-20260402-001</t>
        </is>
      </c>
      <c r="D30" s="35" t="inlineStr">
        <is>
          <t>WO-ZZ00020490</t>
        </is>
      </c>
      <c r="E30" s="21" t="inlineStr">
        <is>
          <t>珍琦电商系列增强型成人纸尿裤L码（10片*8包）</t>
        </is>
      </c>
      <c r="F30" t="inlineStr">
        <is>
          <t>L</t>
        </is>
      </c>
      <c r="G30" s="19" t="n">
        <v>10</v>
      </c>
      <c r="H30" s="19" t="n">
        <v>10</v>
      </c>
      <c r="I30" s="116" t="n">
        <v>46114</v>
      </c>
      <c r="J30" s="117" t="n">
        <v>46167</v>
      </c>
      <c r="K30" s="19" t="n">
        <v>300</v>
      </c>
      <c r="L30" s="19">
        <f>F30*G30*J30</f>
        <v/>
      </c>
      <c r="M30" s="19" t="n">
        <v>0</v>
      </c>
      <c r="N30" s="28" t="n"/>
      <c r="O30" s="28" t="n"/>
      <c r="P30" s="28" t="n"/>
      <c r="Q30" s="28" t="n"/>
      <c r="R30" s="28" t="n"/>
      <c r="S30" s="28" t="n"/>
      <c r="T30" s="28" t="n"/>
      <c r="U30" s="28" t="n"/>
      <c r="V30" s="28" t="n"/>
      <c r="W30" s="28" t="n"/>
      <c r="X30" s="28" t="n"/>
      <c r="Y30" s="28" t="n"/>
      <c r="Z30" s="28" t="n"/>
      <c r="AA30" s="28" t="n"/>
      <c r="AB30" s="28" t="n"/>
      <c r="AC30" s="28" t="n"/>
      <c r="AD30" s="28" t="n"/>
      <c r="AE30" s="28" t="n"/>
      <c r="AF30" s="28" t="n"/>
      <c r="AG30" s="28" t="n"/>
      <c r="AH30" s="28" t="n"/>
      <c r="AI30" s="28" t="n"/>
      <c r="AJ30" s="28" t="n"/>
      <c r="AK30" s="28" t="n"/>
      <c r="AL30" s="28" t="n"/>
      <c r="AM30" s="28" t="n"/>
      <c r="AN30" s="28" t="n">
        <v>9</v>
      </c>
      <c r="AO30" s="28" t="n">
        <v>291</v>
      </c>
      <c r="AP30" s="28" t="n"/>
      <c r="AQ30" s="28" t="n"/>
      <c r="AR30" s="28" t="n"/>
      <c r="AS30" s="28" t="n"/>
      <c r="AT30" s="28" t="n"/>
      <c r="AU30" s="28" t="n"/>
      <c r="AV30" s="28" t="n"/>
      <c r="AW30" s="28" t="n"/>
      <c r="AX30" s="28" t="n"/>
      <c r="AY30" s="28" t="n"/>
      <c r="AZ30" s="28" t="n"/>
      <c r="BA30" s="28" t="n"/>
      <c r="BB30" s="28" t="n"/>
      <c r="BC30" s="28" t="n"/>
      <c r="BD30" s="28" t="n"/>
      <c r="BE30" s="28" t="n"/>
      <c r="BF30" s="28" t="n"/>
      <c r="BG30" s="28" t="n"/>
      <c r="BH30" s="28" t="n"/>
      <c r="BI30" s="28" t="n"/>
      <c r="BJ30" s="28" t="n"/>
      <c r="BK30" s="28" t="n"/>
      <c r="BL30" s="28" t="n"/>
      <c r="BM30" s="28" t="n"/>
      <c r="BN30" s="28" t="n"/>
      <c r="BO30" s="28" t="n"/>
      <c r="BP30" s="28" t="n"/>
    </row>
    <row r="31" ht="17.5" customHeight="1" s="91">
      <c r="A31" s="35" t="inlineStr">
        <is>
          <t>1.1.02.354</t>
        </is>
      </c>
      <c r="B31" s="35" t="n"/>
      <c r="C31" s="35" t="n"/>
      <c r="D31" s="35" t="n"/>
      <c r="E31" s="21" t="inlineStr">
        <is>
          <t>康宝成裤OVERNIGHT L</t>
        </is>
      </c>
      <c r="F31" t="inlineStr">
        <is>
          <t>L</t>
        </is>
      </c>
      <c r="G31" s="19" t="n">
        <v>8</v>
      </c>
      <c r="H31" s="19" t="n">
        <v>6</v>
      </c>
      <c r="I31" s="116" t="n"/>
      <c r="J31" s="117" t="n">
        <v>46188</v>
      </c>
      <c r="K31" s="19" t="n">
        <v>3000</v>
      </c>
      <c r="L31" s="19">
        <f>F31*G31*J31</f>
        <v/>
      </c>
      <c r="M31" s="19" t="n">
        <v>0</v>
      </c>
      <c r="N31" s="28" t="n"/>
      <c r="O31" s="28" t="n"/>
      <c r="P31" s="28" t="n"/>
      <c r="Q31" s="28" t="n"/>
      <c r="R31" s="28" t="n"/>
      <c r="S31" s="28" t="n"/>
      <c r="T31" s="28" t="n"/>
      <c r="U31" s="28" t="n"/>
      <c r="V31" s="28" t="n"/>
      <c r="W31" s="28" t="n"/>
      <c r="X31" s="28" t="n"/>
      <c r="Y31" s="28" t="n"/>
      <c r="Z31" s="28" t="n"/>
      <c r="AA31" s="28" t="n"/>
      <c r="AB31" s="28" t="n"/>
      <c r="AC31" s="28" t="n"/>
      <c r="AD31" s="28" t="n"/>
      <c r="AE31" s="28" t="n"/>
      <c r="AF31" s="28" t="n"/>
      <c r="AG31" s="28" t="n"/>
      <c r="AH31" s="28" t="n"/>
      <c r="AI31" s="28" t="n"/>
      <c r="AJ31" s="28" t="n"/>
      <c r="AK31" s="28" t="n"/>
      <c r="AL31" s="28" t="n"/>
      <c r="AM31" s="28" t="n"/>
      <c r="AN31" s="28" t="n"/>
      <c r="AO31" s="28" t="n">
        <v>3000</v>
      </c>
      <c r="AP31" s="28" t="n"/>
      <c r="AQ31" s="28" t="n"/>
      <c r="AR31" s="28" t="n"/>
      <c r="AS31" s="28" t="n"/>
      <c r="AT31" s="28" t="n"/>
      <c r="AU31" s="28" t="n"/>
      <c r="AV31" s="28" t="n"/>
      <c r="AW31" s="28" t="n"/>
      <c r="AX31" s="28" t="n"/>
      <c r="AY31" s="28" t="n"/>
      <c r="AZ31" s="28" t="n"/>
      <c r="BA31" s="28" t="n"/>
      <c r="BB31" s="28" t="n"/>
      <c r="BC31" s="28" t="n"/>
      <c r="BD31" s="28" t="n"/>
      <c r="BE31" s="28" t="n"/>
      <c r="BF31" s="28" t="n"/>
      <c r="BG31" s="28" t="n"/>
      <c r="BH31" s="28" t="n"/>
      <c r="BI31" s="28" t="n"/>
      <c r="BJ31" s="28" t="n"/>
      <c r="BK31" s="28" t="n"/>
      <c r="BL31" s="28" t="n"/>
      <c r="BM31" s="28" t="n"/>
      <c r="BN31" s="28" t="n"/>
      <c r="BO31" s="28" t="n"/>
      <c r="BP31" s="28" t="n"/>
    </row>
    <row r="32" ht="17.5" customHeight="1" s="91">
      <c r="A32" s="37" t="inlineStr">
        <is>
          <t>1.1.02.702</t>
        </is>
      </c>
      <c r="B32" s="37" t="n"/>
      <c r="C32" s="37" t="inlineStr">
        <is>
          <t>DS-20260506-001</t>
        </is>
      </c>
      <c r="D32" s="37" t="n"/>
      <c r="E32" s="38" t="inlineStr">
        <is>
          <t>珍琦电商系列增强型成人纸尿裤L码（10片*8包）</t>
        </is>
      </c>
      <c r="F32" t="inlineStr">
        <is>
          <t>L</t>
        </is>
      </c>
      <c r="G32" s="37" t="n">
        <v>10</v>
      </c>
      <c r="H32" s="37" t="n">
        <v>8</v>
      </c>
      <c r="I32" s="121" t="n">
        <v>46148</v>
      </c>
      <c r="J32" s="121" t="n">
        <v>46178</v>
      </c>
      <c r="K32" s="37" t="n">
        <v>400</v>
      </c>
      <c r="L32" s="37">
        <f>F32*G32*J32</f>
        <v/>
      </c>
      <c r="M32" s="37" t="n">
        <v>0</v>
      </c>
      <c r="N32" s="28" t="n"/>
      <c r="O32" s="28" t="n"/>
      <c r="P32" s="28" t="n"/>
      <c r="Q32" s="28" t="n"/>
      <c r="R32" s="28" t="n"/>
      <c r="S32" s="28" t="n"/>
      <c r="T32" s="28" t="n"/>
      <c r="U32" s="28" t="n"/>
      <c r="V32" s="28" t="n"/>
      <c r="W32" s="28" t="n"/>
      <c r="X32" s="28" t="n"/>
      <c r="Y32" s="28" t="n"/>
      <c r="Z32" s="28" t="n"/>
      <c r="AA32" s="28" t="n"/>
      <c r="AB32" s="28" t="n"/>
      <c r="AC32" s="28" t="n"/>
      <c r="AD32" s="28" t="n"/>
      <c r="AE32" s="28" t="n"/>
      <c r="AF32" s="28" t="n"/>
      <c r="AG32" s="28" t="n"/>
      <c r="AH32" s="28" t="n"/>
      <c r="AI32" s="28" t="n"/>
      <c r="AJ32" s="28" t="n"/>
      <c r="AK32" s="28" t="n"/>
      <c r="AL32" s="28" t="n"/>
      <c r="AM32" s="28" t="n"/>
      <c r="AN32" s="28" t="n"/>
      <c r="AO32" s="28" t="n">
        <v>400</v>
      </c>
      <c r="AP32" s="28" t="n"/>
      <c r="AQ32" s="28" t="n"/>
      <c r="AR32" s="28" t="n"/>
      <c r="AS32" s="28" t="n"/>
      <c r="AT32" s="28" t="n"/>
      <c r="AU32" s="28" t="n"/>
      <c r="AV32" s="28" t="n"/>
      <c r="AW32" s="28" t="n"/>
      <c r="AX32" s="28" t="n"/>
      <c r="AY32" s="28" t="n"/>
      <c r="AZ32" s="28" t="n"/>
      <c r="BA32" s="28" t="n"/>
      <c r="BB32" s="28" t="n"/>
      <c r="BC32" s="28" t="n"/>
      <c r="BD32" s="28" t="n"/>
      <c r="BE32" s="28" t="n"/>
      <c r="BF32" s="28" t="n"/>
      <c r="BG32" s="28" t="n"/>
      <c r="BH32" s="28" t="n"/>
      <c r="BI32" s="28" t="n"/>
      <c r="BJ32" s="28" t="n"/>
      <c r="BK32" s="28" t="n"/>
      <c r="BL32" s="28" t="n"/>
      <c r="BM32" s="28" t="n"/>
      <c r="BN32" s="28" t="n"/>
      <c r="BO32" s="28" t="n"/>
      <c r="BP32" s="28" t="n"/>
      <c r="BQ32" s="28" t="n"/>
    </row>
    <row r="33" ht="17.5" customHeight="1" s="91">
      <c r="A33" s="37" t="inlineStr">
        <is>
          <t>1.1.02.701</t>
        </is>
      </c>
      <c r="B33" s="37" t="n"/>
      <c r="C33" s="37" t="inlineStr">
        <is>
          <t>DS-20260506-001</t>
        </is>
      </c>
      <c r="D33" s="37" t="n"/>
      <c r="E33" s="38" t="inlineStr">
        <is>
          <t>珍琦电商系列基础型成人纸尿裤L码（10片*6包）</t>
        </is>
      </c>
      <c r="F33" t="inlineStr">
        <is>
          <t>L</t>
        </is>
      </c>
      <c r="G33" s="37" t="n">
        <v>10</v>
      </c>
      <c r="H33" s="37" t="n">
        <v>6</v>
      </c>
      <c r="I33" s="121" t="n">
        <v>46148</v>
      </c>
      <c r="J33" s="121" t="n">
        <v>46188</v>
      </c>
      <c r="K33" s="37" t="n">
        <v>1500</v>
      </c>
      <c r="L33" s="37">
        <f>F33*G33*J33</f>
        <v/>
      </c>
      <c r="M33" s="37" t="n">
        <v>0</v>
      </c>
      <c r="N33" s="28" t="n"/>
      <c r="O33" s="28" t="n"/>
      <c r="P33" s="28" t="n"/>
      <c r="Q33" s="28" t="n"/>
      <c r="R33" s="28" t="n"/>
      <c r="S33" s="28" t="n"/>
      <c r="T33" s="28" t="n"/>
      <c r="U33" s="28" t="n"/>
      <c r="V33" s="28" t="n"/>
      <c r="W33" s="28" t="n"/>
      <c r="X33" s="28" t="n"/>
      <c r="Y33" s="28" t="n"/>
      <c r="Z33" s="28" t="n"/>
      <c r="AA33" s="28" t="n"/>
      <c r="AB33" s="28" t="n"/>
      <c r="AC33" s="28" t="n"/>
      <c r="AD33" s="28" t="n"/>
      <c r="AE33" s="28" t="n"/>
      <c r="AF33" s="28" t="n"/>
      <c r="AG33" s="28" t="n"/>
      <c r="AH33" s="28" t="n"/>
      <c r="AI33" s="28" t="n"/>
      <c r="AJ33" s="28" t="n"/>
      <c r="AK33" s="28" t="n"/>
      <c r="AL33" s="28" t="n"/>
      <c r="AM33" s="28" t="n"/>
      <c r="AN33" s="28" t="n"/>
      <c r="AO33" s="28" t="n">
        <v>322</v>
      </c>
      <c r="AP33" s="28" t="n">
        <v>1178</v>
      </c>
      <c r="AQ33" s="28" t="n"/>
      <c r="AR33" s="28" t="n"/>
      <c r="AS33" s="28" t="n"/>
      <c r="AT33" s="28" t="n"/>
      <c r="AU33" s="28" t="n"/>
      <c r="AV33" s="28" t="n"/>
      <c r="AW33" s="28" t="n"/>
      <c r="AX33" s="28" t="n"/>
      <c r="AY33" s="28" t="n"/>
      <c r="AZ33" s="28" t="n"/>
      <c r="BA33" s="28" t="n"/>
      <c r="BB33" s="28" t="n"/>
      <c r="BC33" s="28" t="n"/>
      <c r="BD33" s="28" t="n"/>
      <c r="BE33" s="28" t="n"/>
      <c r="BF33" s="28" t="n"/>
      <c r="BG33" s="28" t="n"/>
      <c r="BH33" s="28" t="n"/>
      <c r="BI33" s="28" t="n"/>
      <c r="BJ33" s="28" t="n"/>
      <c r="BK33" s="28" t="n"/>
      <c r="BL33" s="28" t="n"/>
      <c r="BM33" s="28" t="n"/>
      <c r="BN33" s="28" t="n"/>
      <c r="BO33" s="28" t="n"/>
      <c r="BP33" s="28" t="n"/>
      <c r="BQ33" s="28" t="n"/>
    </row>
    <row r="34" ht="18" customHeight="1" s="91">
      <c r="A34" s="37" t="inlineStr">
        <is>
          <t>1.1.02.703</t>
        </is>
      </c>
      <c r="B34" s="37" t="n"/>
      <c r="C34" s="37" t="inlineStr">
        <is>
          <t>DS-20260506-001</t>
        </is>
      </c>
      <c r="D34" s="37" t="n"/>
      <c r="E34" s="38" t="inlineStr">
        <is>
          <t>珍琦电商系列夜用型成人纸尿裤L码（10片*6包</t>
        </is>
      </c>
      <c r="F34" t="inlineStr">
        <is>
          <t>L</t>
        </is>
      </c>
      <c r="G34" s="37" t="n">
        <v>10</v>
      </c>
      <c r="H34" s="37" t="n">
        <v>6</v>
      </c>
      <c r="I34" s="121" t="n">
        <v>46148</v>
      </c>
      <c r="J34" s="121" t="n">
        <v>46178</v>
      </c>
      <c r="K34" s="37" t="n">
        <v>1600</v>
      </c>
      <c r="L34" s="37">
        <f>F34*G34*J34</f>
        <v/>
      </c>
      <c r="M34" s="37" t="n">
        <v>0</v>
      </c>
      <c r="N34" s="28" t="n"/>
      <c r="O34" s="28" t="n"/>
      <c r="P34" s="28" t="n"/>
      <c r="Q34" s="28" t="n"/>
      <c r="R34" s="28" t="n"/>
      <c r="S34" s="28" t="n"/>
      <c r="T34" s="28" t="n"/>
      <c r="U34" s="28" t="n"/>
      <c r="V34" s="28" t="n"/>
      <c r="W34" s="28" t="n"/>
      <c r="X34" s="28" t="n"/>
      <c r="Y34" s="28" t="n"/>
      <c r="Z34" s="28" t="n"/>
      <c r="AA34" s="28" t="n"/>
      <c r="AB34" s="28" t="n"/>
      <c r="AC34" s="28" t="n"/>
      <c r="AD34" s="28" t="n"/>
      <c r="AE34" s="28" t="n"/>
      <c r="AF34" s="28" t="n"/>
      <c r="AG34" s="28" t="n"/>
      <c r="AH34" s="28" t="n"/>
      <c r="AI34" s="28" t="n"/>
      <c r="AJ34" s="28" t="n"/>
      <c r="AK34" s="28" t="n"/>
      <c r="AL34" s="28" t="n"/>
      <c r="AM34" s="28" t="n"/>
      <c r="AN34" s="28" t="n"/>
      <c r="AO34" s="28" t="n"/>
      <c r="AP34" s="28" t="n">
        <v>1600</v>
      </c>
      <c r="AQ34" s="28" t="n"/>
      <c r="AR34" s="28" t="n"/>
      <c r="AS34" s="28" t="n"/>
      <c r="AT34" s="28" t="n"/>
      <c r="AU34" s="28" t="n"/>
      <c r="AV34" s="28" t="n"/>
      <c r="AW34" s="28" t="n"/>
      <c r="AX34" s="28" t="n"/>
      <c r="AY34" s="28" t="n"/>
      <c r="AZ34" s="28" t="n"/>
      <c r="BA34" s="28" t="n"/>
      <c r="BB34" s="28" t="n"/>
      <c r="BC34" s="28" t="n"/>
      <c r="BD34" s="28" t="n"/>
      <c r="BE34" s="28" t="n"/>
      <c r="BF34" s="28" t="n"/>
      <c r="BG34" s="28" t="n"/>
      <c r="BH34" s="28" t="n"/>
      <c r="BI34" s="28" t="n"/>
      <c r="BJ34" s="28" t="n"/>
      <c r="BK34" s="28" t="n"/>
      <c r="BL34" s="28" t="n"/>
      <c r="BM34" s="28" t="n"/>
      <c r="BN34" s="28" t="n"/>
      <c r="BO34" s="28" t="n"/>
      <c r="BP34" s="28" t="n"/>
      <c r="BQ34" s="28" t="n"/>
    </row>
    <row r="35" ht="17.5" customHeight="1" s="91">
      <c r="A35" s="35" t="inlineStr">
        <is>
          <t>1.1.01.685</t>
        </is>
      </c>
      <c r="B35" s="35" t="n"/>
      <c r="C35" s="35" t="inlineStr">
        <is>
          <t>DS-20260402-001</t>
        </is>
      </c>
      <c r="D35" s="35" t="inlineStr">
        <is>
          <t>WO-ZZ00020492</t>
        </is>
      </c>
      <c r="E35" s="21" t="inlineStr">
        <is>
          <t>珍琦电商系列基础型成人纸尿裤M码（10片*6包）</t>
        </is>
      </c>
      <c r="F35" t="inlineStr">
        <is>
          <t>M</t>
        </is>
      </c>
      <c r="G35" s="19" t="n">
        <v>10</v>
      </c>
      <c r="H35" s="19" t="n">
        <v>6</v>
      </c>
      <c r="I35" s="116" t="n">
        <v>46114</v>
      </c>
      <c r="J35" s="117" t="n">
        <v>46178</v>
      </c>
      <c r="K35" s="19" t="n">
        <v>1500</v>
      </c>
      <c r="L35" s="19">
        <f>F35*G35*J35</f>
        <v/>
      </c>
      <c r="M35" s="19" t="n">
        <v>0</v>
      </c>
      <c r="N35" s="28" t="n"/>
      <c r="O35" s="28" t="n"/>
      <c r="P35" s="28" t="n"/>
      <c r="Q35" s="28" t="n"/>
      <c r="R35" s="28" t="n"/>
      <c r="S35" s="28" t="n"/>
      <c r="T35" s="28" t="n"/>
      <c r="U35" s="28" t="n"/>
      <c r="V35" s="28" t="n"/>
      <c r="W35" s="28" t="n"/>
      <c r="X35" s="28" t="n"/>
      <c r="Y35" s="28" t="n"/>
      <c r="Z35" s="28" t="n"/>
      <c r="AA35" s="28" t="n"/>
      <c r="AB35" s="28" t="n"/>
      <c r="AC35" s="28" t="n"/>
      <c r="AD35" s="28" t="n"/>
      <c r="AE35" s="28" t="n"/>
      <c r="AF35" s="28" t="n"/>
      <c r="AG35" s="28" t="n"/>
      <c r="AH35" s="28" t="n"/>
      <c r="AI35" s="28" t="n"/>
      <c r="AJ35" s="28" t="n"/>
      <c r="AK35" s="28" t="n"/>
      <c r="AL35" s="28" t="n"/>
      <c r="AM35" s="28" t="n"/>
      <c r="AN35" s="28" t="n"/>
      <c r="AO35" s="28" t="n"/>
      <c r="AP35" s="28" t="n">
        <v>962</v>
      </c>
      <c r="AQ35" s="28" t="n">
        <v>538</v>
      </c>
      <c r="AR35" s="28" t="n"/>
      <c r="AS35" s="28" t="n"/>
      <c r="AT35" s="28" t="n"/>
      <c r="AU35" s="28" t="n"/>
      <c r="AV35" s="28" t="n"/>
      <c r="AW35" s="28" t="n"/>
      <c r="AX35" s="28" t="n"/>
      <c r="AY35" s="28" t="n"/>
      <c r="AZ35" s="28" t="n"/>
      <c r="BA35" s="28" t="n"/>
      <c r="BB35" s="28" t="n"/>
      <c r="BC35" s="28" t="n"/>
      <c r="BD35" s="28" t="n"/>
      <c r="BE35" s="28" t="n"/>
      <c r="BF35" s="28" t="n"/>
      <c r="BG35" s="28" t="n"/>
      <c r="BH35" s="28" t="n"/>
      <c r="BI35" s="28" t="n"/>
      <c r="BJ35" s="28" t="n"/>
      <c r="BK35" s="28" t="n"/>
      <c r="BL35" s="28" t="n"/>
      <c r="BM35" s="28" t="n"/>
      <c r="BN35" s="28" t="n"/>
      <c r="BO35" s="28" t="n"/>
      <c r="BP35" s="28" t="n"/>
    </row>
    <row r="36" ht="18" customHeight="1" s="91">
      <c r="A36" s="37" t="inlineStr">
        <is>
          <t>1.1.01.687</t>
        </is>
      </c>
      <c r="B36" s="37" t="n"/>
      <c r="C36" s="37" t="inlineStr">
        <is>
          <t>DS-20260506-001</t>
        </is>
      </c>
      <c r="D36" s="37" t="n"/>
      <c r="E36" s="38" t="inlineStr">
        <is>
          <t>珍琦电商系列夜用型成人纸尿裤M码（10片*6包）</t>
        </is>
      </c>
      <c r="F36" t="inlineStr">
        <is>
          <t>M</t>
        </is>
      </c>
      <c r="G36" s="37" t="n">
        <v>10</v>
      </c>
      <c r="H36" s="37" t="n">
        <v>6</v>
      </c>
      <c r="I36" s="121" t="n">
        <v>46148</v>
      </c>
      <c r="J36" s="121" t="n">
        <v>46178</v>
      </c>
      <c r="K36" s="37" t="n">
        <v>500</v>
      </c>
      <c r="L36" s="37">
        <f>F36*G36*J36</f>
        <v/>
      </c>
      <c r="M36" s="37" t="n">
        <v>0</v>
      </c>
      <c r="N36" s="28" t="n"/>
      <c r="O36" s="28" t="n"/>
      <c r="P36" s="28" t="n"/>
      <c r="Q36" s="28" t="n"/>
      <c r="R36" s="28" t="n"/>
      <c r="S36" s="28" t="n"/>
      <c r="T36" s="28" t="n"/>
      <c r="U36" s="28" t="n"/>
      <c r="V36" s="28" t="n"/>
      <c r="W36" s="28" t="n"/>
      <c r="X36" s="28" t="n"/>
      <c r="Y36" s="28" t="n"/>
      <c r="Z36" s="28" t="n"/>
      <c r="AA36" s="28" t="n"/>
      <c r="AB36" s="28" t="n"/>
      <c r="AC36" s="28" t="n"/>
      <c r="AD36" s="28" t="n"/>
      <c r="AE36" s="28" t="n"/>
      <c r="AF36" s="28" t="n"/>
      <c r="AG36" s="28" t="n"/>
      <c r="AH36" s="28" t="n"/>
      <c r="AI36" s="28" t="n"/>
      <c r="AJ36" s="28" t="n"/>
      <c r="AK36" s="28" t="n"/>
      <c r="AL36" s="28" t="n"/>
      <c r="AM36" s="28" t="n"/>
      <c r="AN36" s="28" t="n"/>
      <c r="AO36" s="28" t="n"/>
      <c r="AP36" s="28" t="n"/>
      <c r="AQ36" s="28" t="n">
        <v>500</v>
      </c>
      <c r="AR36" s="28" t="n"/>
      <c r="AS36" s="28" t="n"/>
      <c r="AT36" s="28" t="n"/>
      <c r="AU36" s="28" t="n"/>
      <c r="AV36" s="28" t="n"/>
      <c r="AW36" s="28" t="n"/>
      <c r="AX36" s="28" t="n"/>
      <c r="AY36" s="28" t="n"/>
      <c r="AZ36" s="28" t="n"/>
      <c r="BA36" s="28" t="n"/>
      <c r="BB36" s="28" t="n"/>
      <c r="BC36" s="28" t="n"/>
      <c r="BD36" s="28" t="n"/>
      <c r="BE36" s="28" t="n"/>
      <c r="BF36" s="28" t="n"/>
      <c r="BG36" s="28" t="n"/>
      <c r="BH36" s="28" t="n"/>
      <c r="BI36" s="28" t="n"/>
      <c r="BJ36" s="28" t="n"/>
      <c r="BK36" s="28" t="n"/>
      <c r="BL36" s="28" t="n"/>
      <c r="BM36" s="28" t="n"/>
      <c r="BN36" s="28" t="n"/>
      <c r="BO36" s="28" t="n"/>
      <c r="BP36" s="28" t="n"/>
      <c r="BQ36" s="28" t="n"/>
    </row>
  </sheetData>
  <autoFilter ref="A5:BP35"/>
  <mergeCells count="3">
    <mergeCell ref="A1:H4"/>
    <mergeCell ref="I3:J4"/>
    <mergeCell ref="F5:G5"/>
  </mergeCells>
  <dataValidations count="1">
    <dataValidation sqref="M2:BO2" showDropDown="0" showInputMessage="1" showErrorMessage="1" allowBlank="1" type="list">
      <formula1>"单,双"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3">
    <outlinePr summaryBelow="1" summaryRight="1"/>
    <pageSetUpPr/>
  </sheetPr>
  <dimension ref="A1:BQ32"/>
  <sheetViews>
    <sheetView showGridLines="0" zoomScale="70" zoomScaleNormal="70" workbookViewId="0">
      <pane xSplit="12" ySplit="4" topLeftCell="M5" activePane="bottomRight" state="frozen"/>
      <selection pane="topRight" activeCell="A1" sqref="A1"/>
      <selection pane="bottomLeft" activeCell="A1" sqref="A1"/>
      <selection pane="bottomRight" activeCell="J6" sqref="J6:J8"/>
    </sheetView>
  </sheetViews>
  <sheetFormatPr baseColWidth="10" defaultColWidth="8.83203125" defaultRowHeight="17"/>
  <cols>
    <col width="11.83203125" customWidth="1" style="53" min="1" max="1"/>
    <col width="5.1640625" customWidth="1" style="53" min="2" max="2"/>
    <col width="23.83203125" customWidth="1" style="53" min="3" max="3"/>
    <col width="23.5" customWidth="1" style="53" min="4" max="4"/>
    <col width="56.5" customWidth="1" style="54" min="5" max="5"/>
    <col width="8.83203125" customWidth="1" style="53" min="6" max="7"/>
    <col width="13.5" customWidth="1" style="53" min="8" max="8"/>
    <col width="14.1640625" customWidth="1" style="53" min="9" max="9"/>
    <col width="11.83203125" customWidth="1" style="53" min="10" max="10"/>
    <col width="12.83203125" customWidth="1" style="53" min="11" max="11"/>
    <col width="11.1640625" customWidth="1" style="53" min="12" max="12"/>
    <col width="8.83203125" customWidth="1" style="53" min="13" max="15"/>
    <col width="8.83203125" customWidth="1" style="53" min="16" max="16384"/>
  </cols>
  <sheetData>
    <row r="1" ht="16.25" customFormat="1" customHeight="1" s="101">
      <c r="A1" s="100" t="inlineStr">
        <is>
          <t>AD-7#拉拉裤</t>
        </is>
      </c>
      <c r="J1" s="4" t="inlineStr">
        <is>
          <t>单班</t>
        </is>
      </c>
      <c r="K1" s="4" t="n">
        <v>72000</v>
      </c>
      <c r="L1" s="5" t="inlineStr">
        <is>
          <t>未排产计划</t>
        </is>
      </c>
      <c r="M1" s="107" t="n"/>
    </row>
    <row r="2" ht="16.25" customFormat="1" customHeight="1" s="101">
      <c r="J2" s="4" t="inlineStr">
        <is>
          <t>双班</t>
        </is>
      </c>
      <c r="K2" s="4" t="n">
        <v>130000</v>
      </c>
      <c r="L2" s="5" t="inlineStr">
        <is>
          <t>4月排产计划</t>
        </is>
      </c>
      <c r="M2" s="108">
        <f>SUM(#REF!)</f>
        <v/>
      </c>
      <c r="N2" s="122" t="inlineStr">
        <is>
          <t>单</t>
        </is>
      </c>
      <c r="O2" s="122" t="inlineStr">
        <is>
          <t>单</t>
        </is>
      </c>
      <c r="P2" s="122" t="inlineStr">
        <is>
          <t>单</t>
        </is>
      </c>
      <c r="Q2" s="122" t="inlineStr">
        <is>
          <t>单</t>
        </is>
      </c>
      <c r="R2" s="122" t="inlineStr"/>
      <c r="S2" s="122" t="inlineStr">
        <is>
          <t>单</t>
        </is>
      </c>
      <c r="T2" s="122" t="inlineStr">
        <is>
          <t>单</t>
        </is>
      </c>
      <c r="U2" s="122" t="inlineStr">
        <is>
          <t>单</t>
        </is>
      </c>
      <c r="V2" s="122" t="inlineStr">
        <is>
          <t>单</t>
        </is>
      </c>
      <c r="W2" s="122" t="inlineStr">
        <is>
          <t>单</t>
        </is>
      </c>
      <c r="X2" s="122" t="inlineStr">
        <is>
          <t>单</t>
        </is>
      </c>
      <c r="Y2" s="122" t="inlineStr"/>
      <c r="Z2" s="122" t="inlineStr">
        <is>
          <t>单</t>
        </is>
      </c>
      <c r="AA2" s="122" t="inlineStr">
        <is>
          <t>单</t>
        </is>
      </c>
      <c r="AB2" s="122" t="inlineStr">
        <is>
          <t>单</t>
        </is>
      </c>
      <c r="AC2" s="122" t="inlineStr">
        <is>
          <t>单</t>
        </is>
      </c>
      <c r="AD2" s="122" t="inlineStr">
        <is>
          <t>单</t>
        </is>
      </c>
      <c r="AE2" s="122" t="inlineStr">
        <is>
          <t>单</t>
        </is>
      </c>
      <c r="AF2" s="122" t="inlineStr"/>
      <c r="AG2" s="122" t="inlineStr">
        <is>
          <t>单</t>
        </is>
      </c>
      <c r="AH2" s="122" t="inlineStr">
        <is>
          <t>单</t>
        </is>
      </c>
      <c r="AI2" s="122" t="inlineStr">
        <is>
          <t>单</t>
        </is>
      </c>
      <c r="AJ2" s="122" t="inlineStr">
        <is>
          <t>单</t>
        </is>
      </c>
      <c r="AK2" s="122" t="inlineStr">
        <is>
          <t>单</t>
        </is>
      </c>
      <c r="AL2" s="122" t="inlineStr">
        <is>
          <t>单</t>
        </is>
      </c>
      <c r="AM2" s="122" t="inlineStr"/>
      <c r="AN2" s="122" t="inlineStr">
        <is>
          <t>单</t>
        </is>
      </c>
      <c r="AO2" s="122" t="inlineStr">
        <is>
          <t>单</t>
        </is>
      </c>
      <c r="AP2" s="122" t="inlineStr">
        <is>
          <t>单</t>
        </is>
      </c>
      <c r="AQ2" s="122" t="inlineStr">
        <is>
          <t>单</t>
        </is>
      </c>
      <c r="AR2" s="122" t="inlineStr">
        <is>
          <t>单</t>
        </is>
      </c>
      <c r="AS2" s="122" t="inlineStr">
        <is>
          <t>单</t>
        </is>
      </c>
      <c r="AT2" s="122" t="inlineStr"/>
      <c r="AU2" s="122" t="inlineStr">
        <is>
          <t>单</t>
        </is>
      </c>
      <c r="AV2" s="122" t="inlineStr">
        <is>
          <t>单</t>
        </is>
      </c>
      <c r="AW2" s="122" t="inlineStr">
        <is>
          <t>单</t>
        </is>
      </c>
      <c r="AX2" s="122" t="inlineStr">
        <is>
          <t>单</t>
        </is>
      </c>
      <c r="AY2" s="122" t="inlineStr">
        <is>
          <t>单</t>
        </is>
      </c>
      <c r="AZ2" s="122" t="inlineStr">
        <is>
          <t>单</t>
        </is>
      </c>
      <c r="BA2" s="122" t="inlineStr"/>
      <c r="BB2" s="122" t="inlineStr">
        <is>
          <t>单</t>
        </is>
      </c>
      <c r="BC2" s="122" t="inlineStr">
        <is>
          <t>单</t>
        </is>
      </c>
      <c r="BD2" s="122" t="inlineStr">
        <is>
          <t>单</t>
        </is>
      </c>
      <c r="BE2" s="122" t="inlineStr">
        <is>
          <t>单</t>
        </is>
      </c>
      <c r="BF2" s="122" t="inlineStr">
        <is>
          <t>单</t>
        </is>
      </c>
      <c r="BG2" s="122" t="inlineStr">
        <is>
          <t>单</t>
        </is>
      </c>
      <c r="BH2" s="122" t="inlineStr"/>
      <c r="BI2" s="122" t="inlineStr">
        <is>
          <t>单</t>
        </is>
      </c>
      <c r="BJ2" s="122" t="inlineStr">
        <is>
          <t>单</t>
        </is>
      </c>
      <c r="BK2" s="122" t="inlineStr">
        <is>
          <t>单</t>
        </is>
      </c>
      <c r="BL2" s="122" t="inlineStr">
        <is>
          <t>单</t>
        </is>
      </c>
      <c r="BM2" s="122" t="inlineStr">
        <is>
          <t>单</t>
        </is>
      </c>
      <c r="BN2" s="122" t="inlineStr">
        <is>
          <t>单</t>
        </is>
      </c>
      <c r="BO2" s="122" t="inlineStr">
        <is>
          <t>单</t>
        </is>
      </c>
      <c r="BP2" s="122" t="inlineStr">
        <is>
          <t>单</t>
        </is>
      </c>
      <c r="BQ2" s="122" t="inlineStr">
        <is>
          <t>单</t>
        </is>
      </c>
    </row>
    <row r="3" ht="17" customFormat="1" customHeight="1" s="101">
      <c r="J3" s="102" t="n"/>
      <c r="K3" s="103" t="n"/>
      <c r="N3" s="0">
        <f>MAX(0,ROWS(UNIQUE(FILTER($F7:$F32,(N7:N32&gt;0)*($F7:$F32&lt;&gt;""))))-1)*IF(N2="双",VLOOKUP($A$1,'换码设置'!$A:$C,2,FALSE),IF(N2="单",VLOOKUP($A$1,'换码设置'!$A:$C,3,FALSE),0))</f>
        <v/>
      </c>
      <c r="O3" s="0">
        <f>MAX(0,ROWS(UNIQUE(FILTER($F7:$F32,(O7:O32&gt;0)*($F7:$F32&lt;&gt;""))))-1)*IF(O2="双",VLOOKUP($A$1,'换码设置'!$A:$C,2,FALSE),IF(O2="单",VLOOKUP($A$1,'换码设置'!$A:$C,3,FALSE),0))</f>
        <v/>
      </c>
      <c r="P3" s="0">
        <f>MAX(0,ROWS(UNIQUE(FILTER($F7:$F32,(P7:P32&gt;0)*($F7:$F32&lt;&gt;""))))-1)*IF(P2="双",VLOOKUP($A$1,'换码设置'!$A:$C,2,FALSE),IF(P2="单",VLOOKUP($A$1,'换码设置'!$A:$C,3,FALSE),0))</f>
        <v/>
      </c>
      <c r="Q3" s="0">
        <f>MAX(0,ROWS(UNIQUE(FILTER($F7:$F32,(Q7:Q32&gt;0)*($F7:$F32&lt;&gt;""))))-1)*IF(Q2="双",VLOOKUP($A$1,'换码设置'!$A:$C,2,FALSE),IF(Q2="单",VLOOKUP($A$1,'换码设置'!$A:$C,3,FALSE),0))</f>
        <v/>
      </c>
      <c r="R3" s="0">
        <f>MAX(0,ROWS(UNIQUE(FILTER($F7:$F32,(R7:R32&gt;0)*($F7:$F32&lt;&gt;""))))-1)*IF(R2="双",VLOOKUP($A$1,'换码设置'!$A:$C,2,FALSE),IF(R2="单",VLOOKUP($A$1,'换码设置'!$A:$C,3,FALSE),0))</f>
        <v/>
      </c>
      <c r="S3" s="0">
        <f>MAX(0,ROWS(UNIQUE(FILTER($F7:$F32,(S7:S32&gt;0)*($F7:$F32&lt;&gt;""))))-1)*IF(S2="双",VLOOKUP($A$1,'换码设置'!$A:$C,2,FALSE),IF(S2="单",VLOOKUP($A$1,'换码设置'!$A:$C,3,FALSE),0))</f>
        <v/>
      </c>
      <c r="T3" s="0">
        <f>MAX(0,ROWS(UNIQUE(FILTER($F7:$F32,(T7:T32&gt;0)*($F7:$F32&lt;&gt;""))))-1)*IF(T2="双",VLOOKUP($A$1,'换码设置'!$A:$C,2,FALSE),IF(T2="单",VLOOKUP($A$1,'换码设置'!$A:$C,3,FALSE),0))</f>
        <v/>
      </c>
      <c r="U3" s="0">
        <f>MAX(0,ROWS(UNIQUE(FILTER($F7:$F32,(U7:U32&gt;0)*($F7:$F32&lt;&gt;""))))-1)*IF(U2="双",VLOOKUP($A$1,'换码设置'!$A:$C,2,FALSE),IF(U2="单",VLOOKUP($A$1,'换码设置'!$A:$C,3,FALSE),0))</f>
        <v/>
      </c>
      <c r="V3" s="0">
        <f>MAX(0,ROWS(UNIQUE(FILTER($F7:$F32,(V7:V32&gt;0)*($F7:$F32&lt;&gt;""))))-1)*IF(V2="双",VLOOKUP($A$1,'换码设置'!$A:$C,2,FALSE),IF(V2="单",VLOOKUP($A$1,'换码设置'!$A:$C,3,FALSE),0))</f>
        <v/>
      </c>
      <c r="W3" s="0">
        <f>MAX(0,ROWS(UNIQUE(FILTER($F7:$F32,(W7:W32&gt;0)*($F7:$F32&lt;&gt;""))))-1)*IF(W2="双",VLOOKUP($A$1,'换码设置'!$A:$C,2,FALSE),IF(W2="单",VLOOKUP($A$1,'换码设置'!$A:$C,3,FALSE),0))</f>
        <v/>
      </c>
      <c r="X3" s="0">
        <f>MAX(0,ROWS(UNIQUE(FILTER($F7:$F32,(X7:X32&gt;0)*($F7:$F32&lt;&gt;""))))-1)*IF(X2="双",VLOOKUP($A$1,'换码设置'!$A:$C,2,FALSE),IF(X2="单",VLOOKUP($A$1,'换码设置'!$A:$C,3,FALSE),0))</f>
        <v/>
      </c>
      <c r="Y3" s="0">
        <f>MAX(0,ROWS(UNIQUE(FILTER($F7:$F32,(Y7:Y32&gt;0)*($F7:$F32&lt;&gt;""))))-1)*IF(Y2="双",VLOOKUP($A$1,'换码设置'!$A:$C,2,FALSE),IF(Y2="单",VLOOKUP($A$1,'换码设置'!$A:$C,3,FALSE),0))</f>
        <v/>
      </c>
      <c r="Z3" s="0">
        <f>MAX(0,ROWS(UNIQUE(FILTER($F7:$F32,(Z7:Z32&gt;0)*($F7:$F32&lt;&gt;""))))-1)*IF(Z2="双",VLOOKUP($A$1,'换码设置'!$A:$C,2,FALSE),IF(Z2="单",VLOOKUP($A$1,'换码设置'!$A:$C,3,FALSE),0))</f>
        <v/>
      </c>
      <c r="AA3" s="0">
        <f>MAX(0,ROWS(UNIQUE(FILTER($F7:$F32,(AA7:AA32&gt;0)*($F7:$F32&lt;&gt;""))))-1)*IF(AA2="双",VLOOKUP($A$1,'换码设置'!$A:$C,2,FALSE),IF(AA2="单",VLOOKUP($A$1,'换码设置'!$A:$C,3,FALSE),0))</f>
        <v/>
      </c>
      <c r="AB3" s="0">
        <f>MAX(0,ROWS(UNIQUE(FILTER($F7:$F32,(AB7:AB32&gt;0)*($F7:$F32&lt;&gt;""))))-1)*IF(AB2="双",VLOOKUP($A$1,'换码设置'!$A:$C,2,FALSE),IF(AB2="单",VLOOKUP($A$1,'换码设置'!$A:$C,3,FALSE),0))</f>
        <v/>
      </c>
      <c r="AC3" s="0">
        <f>MAX(0,ROWS(UNIQUE(FILTER($F7:$F32,(AC7:AC32&gt;0)*($F7:$F32&lt;&gt;""))))-1)*IF(AC2="双",VLOOKUP($A$1,'换码设置'!$A:$C,2,FALSE),IF(AC2="单",VLOOKUP($A$1,'换码设置'!$A:$C,3,FALSE),0))</f>
        <v/>
      </c>
      <c r="AD3" s="0">
        <f>MAX(0,ROWS(UNIQUE(FILTER($F7:$F32,(AD7:AD32&gt;0)*($F7:$F32&lt;&gt;""))))-1)*IF(AD2="双",VLOOKUP($A$1,'换码设置'!$A:$C,2,FALSE),IF(AD2="单",VLOOKUP($A$1,'换码设置'!$A:$C,3,FALSE),0))</f>
        <v/>
      </c>
      <c r="AE3" s="0">
        <f>MAX(0,ROWS(UNIQUE(FILTER($F7:$F32,(AE7:AE32&gt;0)*($F7:$F32&lt;&gt;""))))-1)*IF(AE2="双",VLOOKUP($A$1,'换码设置'!$A:$C,2,FALSE),IF(AE2="单",VLOOKUP($A$1,'换码设置'!$A:$C,3,FALSE),0))</f>
        <v/>
      </c>
      <c r="AF3" s="0">
        <f>MAX(0,ROWS(UNIQUE(FILTER($F7:$F32,(AF7:AF32&gt;0)*($F7:$F32&lt;&gt;""))))-1)*IF(AF2="双",VLOOKUP($A$1,'换码设置'!$A:$C,2,FALSE),IF(AF2="单",VLOOKUP($A$1,'换码设置'!$A:$C,3,FALSE),0))</f>
        <v/>
      </c>
      <c r="AG3" s="0">
        <f>MAX(0,ROWS(UNIQUE(FILTER($F7:$F32,(AG7:AG32&gt;0)*($F7:$F32&lt;&gt;""))))-1)*IF(AG2="双",VLOOKUP($A$1,'换码设置'!$A:$C,2,FALSE),IF(AG2="单",VLOOKUP($A$1,'换码设置'!$A:$C,3,FALSE),0))</f>
        <v/>
      </c>
      <c r="AH3" s="0">
        <f>MAX(0,ROWS(UNIQUE(FILTER($F7:$F32,(AH7:AH32&gt;0)*($F7:$F32&lt;&gt;""))))-1)*IF(AH2="双",VLOOKUP($A$1,'换码设置'!$A:$C,2,FALSE),IF(AH2="单",VLOOKUP($A$1,'换码设置'!$A:$C,3,FALSE),0))</f>
        <v/>
      </c>
      <c r="AI3" s="0">
        <f>MAX(0,ROWS(UNIQUE(FILTER($F7:$F32,(AI7:AI32&gt;0)*($F7:$F32&lt;&gt;""))))-1)*IF(AI2="双",VLOOKUP($A$1,'换码设置'!$A:$C,2,FALSE),IF(AI2="单",VLOOKUP($A$1,'换码设置'!$A:$C,3,FALSE),0))</f>
        <v/>
      </c>
      <c r="AJ3" s="0">
        <f>MAX(0,ROWS(UNIQUE(FILTER($F7:$F32,(AJ7:AJ32&gt;0)*($F7:$F32&lt;&gt;""))))-1)*IF(AJ2="双",VLOOKUP($A$1,'换码设置'!$A:$C,2,FALSE),IF(AJ2="单",VLOOKUP($A$1,'换码设置'!$A:$C,3,FALSE),0))</f>
        <v/>
      </c>
      <c r="AK3" s="0">
        <f>MAX(0,ROWS(UNIQUE(FILTER($F7:$F32,(AK7:AK32&gt;0)*($F7:$F32&lt;&gt;""))))-1)*IF(AK2="双",VLOOKUP($A$1,'换码设置'!$A:$C,2,FALSE),IF(AK2="单",VLOOKUP($A$1,'换码设置'!$A:$C,3,FALSE),0))</f>
        <v/>
      </c>
      <c r="AL3" s="0">
        <f>MAX(0,ROWS(UNIQUE(FILTER($F7:$F32,(AL7:AL32&gt;0)*($F7:$F32&lt;&gt;""))))-1)*IF(AL2="双",VLOOKUP($A$1,'换码设置'!$A:$C,2,FALSE),IF(AL2="单",VLOOKUP($A$1,'换码设置'!$A:$C,3,FALSE),0))</f>
        <v/>
      </c>
      <c r="AM3" s="0">
        <f>MAX(0,ROWS(UNIQUE(FILTER($F7:$F32,(AM7:AM32&gt;0)*($F7:$F32&lt;&gt;""))))-1)*IF(AM2="双",VLOOKUP($A$1,'换码设置'!$A:$C,2,FALSE),IF(AM2="单",VLOOKUP($A$1,'换码设置'!$A:$C,3,FALSE),0))</f>
        <v/>
      </c>
      <c r="AN3" s="0">
        <f>MAX(0,ROWS(UNIQUE(FILTER($F7:$F32,(AN7:AN32&gt;0)*($F7:$F32&lt;&gt;""))))-1)*IF(AN2="双",VLOOKUP($A$1,'换码设置'!$A:$C,2,FALSE),IF(AN2="单",VLOOKUP($A$1,'换码设置'!$A:$C,3,FALSE),0))</f>
        <v/>
      </c>
      <c r="AO3" s="0">
        <f>MAX(0,ROWS(UNIQUE(FILTER($F7:$F32,(AO7:AO32&gt;0)*($F7:$F32&lt;&gt;""))))-1)*IF(AO2="双",VLOOKUP($A$1,'换码设置'!$A:$C,2,FALSE),IF(AO2="单",VLOOKUP($A$1,'换码设置'!$A:$C,3,FALSE),0))</f>
        <v/>
      </c>
      <c r="AP3" s="0">
        <f>MAX(0,ROWS(UNIQUE(FILTER($F7:$F32,(AP7:AP32&gt;0)*($F7:$F32&lt;&gt;""))))-1)*IF(AP2="双",VLOOKUP($A$1,'换码设置'!$A:$C,2,FALSE),IF(AP2="单",VLOOKUP($A$1,'换码设置'!$A:$C,3,FALSE),0))</f>
        <v/>
      </c>
      <c r="AQ3" s="0">
        <f>MAX(0,ROWS(UNIQUE(FILTER($F7:$F32,(AQ7:AQ32&gt;0)*($F7:$F32&lt;&gt;""))))-1)*IF(AQ2="双",VLOOKUP($A$1,'换码设置'!$A:$C,2,FALSE),IF(AQ2="单",VLOOKUP($A$1,'换码设置'!$A:$C,3,FALSE),0))</f>
        <v/>
      </c>
      <c r="AR3" s="0">
        <f>MAX(0,ROWS(UNIQUE(FILTER($F7:$F32,(AR7:AR32&gt;0)*($F7:$F32&lt;&gt;""))))-1)*IF(AR2="双",VLOOKUP($A$1,'换码设置'!$A:$C,2,FALSE),IF(AR2="单",VLOOKUP($A$1,'换码设置'!$A:$C,3,FALSE),0))</f>
        <v/>
      </c>
      <c r="AS3" s="0">
        <f>MAX(0,ROWS(UNIQUE(FILTER($F7:$F32,(AS7:AS32&gt;0)*($F7:$F32&lt;&gt;""))))-1)*IF(AS2="双",VLOOKUP($A$1,'换码设置'!$A:$C,2,FALSE),IF(AS2="单",VLOOKUP($A$1,'换码设置'!$A:$C,3,FALSE),0))</f>
        <v/>
      </c>
      <c r="AT3" s="0">
        <f>MAX(0,ROWS(UNIQUE(FILTER($F7:$F32,(AT7:AT32&gt;0)*($F7:$F32&lt;&gt;""))))-1)*IF(AT2="双",VLOOKUP($A$1,'换码设置'!$A:$C,2,FALSE),IF(AT2="单",VLOOKUP($A$1,'换码设置'!$A:$C,3,FALSE),0))</f>
        <v/>
      </c>
      <c r="AU3" s="0">
        <f>MAX(0,ROWS(UNIQUE(FILTER($F7:$F32,(AU7:AU32&gt;0)*($F7:$F32&lt;&gt;""))))-1)*IF(AU2="双",VLOOKUP($A$1,'换码设置'!$A:$C,2,FALSE),IF(AU2="单",VLOOKUP($A$1,'换码设置'!$A:$C,3,FALSE),0))</f>
        <v/>
      </c>
      <c r="AV3" s="0">
        <f>MAX(0,ROWS(UNIQUE(FILTER($F7:$F32,(AV7:AV32&gt;0)*($F7:$F32&lt;&gt;""))))-1)*IF(AV2="双",VLOOKUP($A$1,'换码设置'!$A:$C,2,FALSE),IF(AV2="单",VLOOKUP($A$1,'换码设置'!$A:$C,3,FALSE),0))</f>
        <v/>
      </c>
      <c r="AW3" s="0">
        <f>MAX(0,ROWS(UNIQUE(FILTER($F7:$F32,(AW7:AW32&gt;0)*($F7:$F32&lt;&gt;""))))-1)*IF(AW2="双",VLOOKUP($A$1,'换码设置'!$A:$C,2,FALSE),IF(AW2="单",VLOOKUP($A$1,'换码设置'!$A:$C,3,FALSE),0))</f>
        <v/>
      </c>
      <c r="AX3" s="0">
        <f>MAX(0,ROWS(UNIQUE(FILTER($F7:$F32,(AX7:AX32&gt;0)*($F7:$F32&lt;&gt;""))))-1)*IF(AX2="双",VLOOKUP($A$1,'换码设置'!$A:$C,2,FALSE),IF(AX2="单",VLOOKUP($A$1,'换码设置'!$A:$C,3,FALSE),0))</f>
        <v/>
      </c>
      <c r="AY3" s="0">
        <f>MAX(0,ROWS(UNIQUE(FILTER($F7:$F32,(AY7:AY32&gt;0)*($F7:$F32&lt;&gt;""))))-1)*IF(AY2="双",VLOOKUP($A$1,'换码设置'!$A:$C,2,FALSE),IF(AY2="单",VLOOKUP($A$1,'换码设置'!$A:$C,3,FALSE),0))</f>
        <v/>
      </c>
      <c r="AZ3" s="0">
        <f>MAX(0,ROWS(UNIQUE(FILTER($F7:$F32,(AZ7:AZ32&gt;0)*($F7:$F32&lt;&gt;""))))-1)*IF(AZ2="双",VLOOKUP($A$1,'换码设置'!$A:$C,2,FALSE),IF(AZ2="单",VLOOKUP($A$1,'换码设置'!$A:$C,3,FALSE),0))</f>
        <v/>
      </c>
      <c r="BA3" s="0">
        <f>MAX(0,ROWS(UNIQUE(FILTER($F7:$F32,(BA7:BA32&gt;0)*($F7:$F32&lt;&gt;""))))-1)*IF(BA2="双",VLOOKUP($A$1,'换码设置'!$A:$C,2,FALSE),IF(BA2="单",VLOOKUP($A$1,'换码设置'!$A:$C,3,FALSE),0))</f>
        <v/>
      </c>
      <c r="BB3" s="0">
        <f>MAX(0,ROWS(UNIQUE(FILTER($F7:$F32,(BB7:BB32&gt;0)*($F7:$F32&lt;&gt;""))))-1)*IF(BB2="双",VLOOKUP($A$1,'换码设置'!$A:$C,2,FALSE),IF(BB2="单",VLOOKUP($A$1,'换码设置'!$A:$C,3,FALSE),0))</f>
        <v/>
      </c>
      <c r="BC3" s="0">
        <f>MAX(0,ROWS(UNIQUE(FILTER($F7:$F32,(BC7:BC32&gt;0)*($F7:$F32&lt;&gt;""))))-1)*IF(BC2="双",VLOOKUP($A$1,'换码设置'!$A:$C,2,FALSE),IF(BC2="单",VLOOKUP($A$1,'换码设置'!$A:$C,3,FALSE),0))</f>
        <v/>
      </c>
      <c r="BD3" s="0">
        <f>MAX(0,ROWS(UNIQUE(FILTER($F7:$F32,(BD7:BD32&gt;0)*($F7:$F32&lt;&gt;""))))-1)*IF(BD2="双",VLOOKUP($A$1,'换码设置'!$A:$C,2,FALSE),IF(BD2="单",VLOOKUP($A$1,'换码设置'!$A:$C,3,FALSE),0))</f>
        <v/>
      </c>
      <c r="BE3" s="0">
        <f>MAX(0,ROWS(UNIQUE(FILTER($F7:$F32,(BE7:BE32&gt;0)*($F7:$F32&lt;&gt;""))))-1)*IF(BE2="双",VLOOKUP($A$1,'换码设置'!$A:$C,2,FALSE),IF(BE2="单",VLOOKUP($A$1,'换码设置'!$A:$C,3,FALSE),0))</f>
        <v/>
      </c>
      <c r="BF3" s="0">
        <f>MAX(0,ROWS(UNIQUE(FILTER($F7:$F32,(BF7:BF32&gt;0)*($F7:$F32&lt;&gt;""))))-1)*IF(BF2="双",VLOOKUP($A$1,'换码设置'!$A:$C,2,FALSE),IF(BF2="单",VLOOKUP($A$1,'换码设置'!$A:$C,3,FALSE),0))</f>
        <v/>
      </c>
      <c r="BG3" s="0">
        <f>MAX(0,ROWS(UNIQUE(FILTER($F7:$F32,(BG7:BG32&gt;0)*($F7:$F32&lt;&gt;""))))-1)*IF(BG2="双",VLOOKUP($A$1,'换码设置'!$A:$C,2,FALSE),IF(BG2="单",VLOOKUP($A$1,'换码设置'!$A:$C,3,FALSE),0))</f>
        <v/>
      </c>
      <c r="BH3" s="0">
        <f>MAX(0,ROWS(UNIQUE(FILTER($F7:$F32,(BH7:BH32&gt;0)*($F7:$F32&lt;&gt;""))))-1)*IF(BH2="双",VLOOKUP($A$1,'换码设置'!$A:$C,2,FALSE),IF(BH2="单",VLOOKUP($A$1,'换码设置'!$A:$C,3,FALSE),0))</f>
        <v/>
      </c>
      <c r="BI3" s="0">
        <f>MAX(0,ROWS(UNIQUE(FILTER($F7:$F32,(BI7:BI32&gt;0)*($F7:$F32&lt;&gt;""))))-1)*IF(BI2="双",VLOOKUP($A$1,'换码设置'!$A:$C,2,FALSE),IF(BI2="单",VLOOKUP($A$1,'换码设置'!$A:$C,3,FALSE),0))</f>
        <v/>
      </c>
      <c r="BJ3" s="0">
        <f>MAX(0,ROWS(UNIQUE(FILTER($F7:$F32,(BJ7:BJ32&gt;0)*($F7:$F32&lt;&gt;""))))-1)*IF(BJ2="双",VLOOKUP($A$1,'换码设置'!$A:$C,2,FALSE),IF(BJ2="单",VLOOKUP($A$1,'换码设置'!$A:$C,3,FALSE),0))</f>
        <v/>
      </c>
      <c r="BK3" s="0">
        <f>MAX(0,ROWS(UNIQUE(FILTER($F7:$F32,(BK7:BK32&gt;0)*($F7:$F32&lt;&gt;""))))-1)*IF(BK2="双",VLOOKUP($A$1,'换码设置'!$A:$C,2,FALSE),IF(BK2="单",VLOOKUP($A$1,'换码设置'!$A:$C,3,FALSE),0))</f>
        <v/>
      </c>
      <c r="BL3" s="0">
        <f>MAX(0,ROWS(UNIQUE(FILTER($F7:$F32,(BL7:BL32&gt;0)*($F7:$F32&lt;&gt;""))))-1)*IF(BL2="双",VLOOKUP($A$1,'换码设置'!$A:$C,2,FALSE),IF(BL2="单",VLOOKUP($A$1,'换码设置'!$A:$C,3,FALSE),0))</f>
        <v/>
      </c>
      <c r="BM3" s="0">
        <f>MAX(0,ROWS(UNIQUE(FILTER($F7:$F32,(BM7:BM32&gt;0)*($F7:$F32&lt;&gt;""))))-1)*IF(BM2="双",VLOOKUP($A$1,'换码设置'!$A:$C,2,FALSE),IF(BM2="单",VLOOKUP($A$1,'换码设置'!$A:$C,3,FALSE),0))</f>
        <v/>
      </c>
      <c r="BN3" s="0">
        <f>MAX(0,ROWS(UNIQUE(FILTER($F7:$F32,(BN7:BN32&gt;0)*($F7:$F32&lt;&gt;""))))-1)*IF(BN2="双",VLOOKUP($A$1,'换码设置'!$A:$C,2,FALSE),IF(BN2="单",VLOOKUP($A$1,'换码设置'!$A:$C,3,FALSE),0))</f>
        <v/>
      </c>
      <c r="BO3" s="0">
        <f>MAX(0,ROWS(UNIQUE(FILTER($F7:$F32,(BO7:BO32&gt;0)*($F7:$F32&lt;&gt;""))))-1)*IF(BO2="双",VLOOKUP($A$1,'换码设置'!$A:$C,2,FALSE),IF(BO2="单",VLOOKUP($A$1,'换码设置'!$A:$C,3,FALSE),0))</f>
        <v/>
      </c>
      <c r="BP3" s="0">
        <f>MAX(0,ROWS(UNIQUE(FILTER($F7:$F32,(BP7:BP32&gt;0)*($F7:$F32&lt;&gt;""))))-1)*IF(BP2="双",VLOOKUP($A$1,'换码设置'!$A:$C,2,FALSE),IF(BP2="单",VLOOKUP($A$1,'换码设置'!$A:$C,3,FALSE),0))</f>
        <v/>
      </c>
      <c r="BQ3" s="0">
        <f>MAX(0,ROWS(UNIQUE(FILTER($F7:$F32,(BQ7:BQ32&gt;0)*($F7:$F32&lt;&gt;""))))-1)*IF(BQ2="双",VLOOKUP($A$1,'换码设置'!$A:$C,2,FALSE),IF(BQ2="单",VLOOKUP($A$1,'换码设置'!$A:$C,3,FALSE),0))</f>
        <v/>
      </c>
    </row>
    <row r="4" ht="17" customFormat="1" customHeight="1" s="101">
      <c r="K4" s="103" t="n"/>
      <c r="L4" s="5" t="inlineStr">
        <is>
          <t>5月排产计划</t>
        </is>
      </c>
      <c r="M4" s="108">
        <f>SUM(M5:AL5)</f>
        <v/>
      </c>
      <c r="N4" s="122" t="n">
        <v>46148</v>
      </c>
      <c r="O4" s="122" t="n">
        <v>46149</v>
      </c>
      <c r="P4" s="122" t="n">
        <v>46150</v>
      </c>
      <c r="Q4" s="122" t="n">
        <v>46151</v>
      </c>
      <c r="R4" s="122" t="n">
        <v>46152</v>
      </c>
      <c r="S4" s="122" t="n">
        <v>46153</v>
      </c>
      <c r="T4" s="122" t="n">
        <v>46154</v>
      </c>
      <c r="U4" s="122" t="n">
        <v>46155</v>
      </c>
      <c r="V4" s="122" t="n">
        <v>46156</v>
      </c>
      <c r="W4" s="122" t="n">
        <v>46157</v>
      </c>
      <c r="X4" s="122" t="n">
        <v>46158</v>
      </c>
      <c r="Y4" s="122" t="n">
        <v>46159</v>
      </c>
      <c r="Z4" s="122" t="n">
        <v>46160</v>
      </c>
      <c r="AA4" s="122" t="n">
        <v>46161</v>
      </c>
      <c r="AB4" s="122" t="n">
        <v>46162</v>
      </c>
      <c r="AC4" s="122" t="n">
        <v>46163</v>
      </c>
      <c r="AD4" s="122" t="n">
        <v>46164</v>
      </c>
      <c r="AE4" s="122" t="n">
        <v>46165</v>
      </c>
      <c r="AF4" s="122" t="n">
        <v>46166</v>
      </c>
      <c r="AG4" s="122" t="n">
        <v>46167</v>
      </c>
      <c r="AH4" s="122" t="n">
        <v>46168</v>
      </c>
      <c r="AI4" s="122" t="n">
        <v>46169</v>
      </c>
      <c r="AJ4" s="122" t="n">
        <v>46170</v>
      </c>
      <c r="AK4" s="122" t="n">
        <v>46171</v>
      </c>
      <c r="AL4" s="122" t="n">
        <v>46172</v>
      </c>
      <c r="AM4" s="122" t="n">
        <v>46173</v>
      </c>
      <c r="AN4" s="122" t="n">
        <v>46174</v>
      </c>
      <c r="AO4" s="122" t="n">
        <v>46175</v>
      </c>
      <c r="AP4" s="122" t="n">
        <v>46176</v>
      </c>
      <c r="AQ4" s="122" t="n">
        <v>46177</v>
      </c>
      <c r="AR4" s="122" t="n">
        <v>46178</v>
      </c>
      <c r="AS4" s="122" t="n">
        <v>46179</v>
      </c>
      <c r="AT4" s="122" t="n">
        <v>46180</v>
      </c>
      <c r="AU4" s="122" t="n">
        <v>46181</v>
      </c>
      <c r="AV4" s="122" t="n">
        <v>46182</v>
      </c>
      <c r="AW4" s="122" t="n">
        <v>46183</v>
      </c>
      <c r="AX4" s="122" t="n">
        <v>46184</v>
      </c>
      <c r="AY4" s="122" t="n">
        <v>46185</v>
      </c>
      <c r="AZ4" s="122" t="n">
        <v>46186</v>
      </c>
      <c r="BA4" s="122" t="n">
        <v>46187</v>
      </c>
      <c r="BB4" s="122" t="n">
        <v>46188</v>
      </c>
      <c r="BC4" s="122" t="n">
        <v>46189</v>
      </c>
      <c r="BD4" s="122" t="n">
        <v>46190</v>
      </c>
      <c r="BE4" s="122" t="n">
        <v>46191</v>
      </c>
      <c r="BF4" s="122" t="n">
        <v>46192</v>
      </c>
      <c r="BG4" s="122" t="n">
        <v>46193</v>
      </c>
      <c r="BH4" s="122" t="n">
        <v>46194</v>
      </c>
      <c r="BI4" s="122" t="n">
        <v>46195</v>
      </c>
      <c r="BJ4" s="122" t="n">
        <v>46196</v>
      </c>
      <c r="BK4" s="122" t="n">
        <v>46197</v>
      </c>
      <c r="BL4" s="122" t="n">
        <v>46198</v>
      </c>
      <c r="BM4" s="122" t="n">
        <v>46199</v>
      </c>
      <c r="BN4" s="122" t="n">
        <v>46200</v>
      </c>
      <c r="BO4" s="122" t="n">
        <v>46201</v>
      </c>
      <c r="BP4" s="122" t="n">
        <v>46202</v>
      </c>
      <c r="BQ4" s="122" t="n">
        <v>46203</v>
      </c>
    </row>
    <row r="5" customFormat="1" s="101">
      <c r="G5" s="101" t="n"/>
      <c r="J5" s="95" t="n"/>
      <c r="K5" s="96" t="n"/>
      <c r="L5" s="5" t="inlineStr">
        <is>
          <t>目前总共订单</t>
        </is>
      </c>
      <c r="M5" s="110">
        <f>SUM(L1:L3)</f>
        <v/>
      </c>
      <c r="N5" s="15">
        <f>IF(N2="单",$K$1,IF(N2="双",$K$2,0))-N3-N6</f>
        <v/>
      </c>
      <c r="O5" s="15">
        <f>IF(O2="单",$K$1,IF(O2="双",$K$2,0))-O3-O6</f>
        <v/>
      </c>
      <c r="P5" s="15">
        <f>IF(P2="单",$K$1,IF(P2="双",$K$2,0))-P3-P6</f>
        <v/>
      </c>
      <c r="Q5" s="15">
        <f>IF(Q2="单",$K$1,IF(Q2="双",$K$2,0))-Q3-Q6</f>
        <v/>
      </c>
      <c r="R5" s="15">
        <f>IF(R2="单",$K$1,IF(R2="双",$K$2,0))-R3-R6</f>
        <v/>
      </c>
      <c r="S5" s="15">
        <f>IF(S2="单",$K$1,IF(S2="双",$K$2,0))-S3-S6</f>
        <v/>
      </c>
      <c r="T5" s="15">
        <f>IF(T2="单",$K$1,IF(T2="双",$K$2,0))-T3-T6</f>
        <v/>
      </c>
      <c r="U5" s="15">
        <f>IF(U2="单",$K$1,IF(U2="双",$K$2,0))-U3-U6</f>
        <v/>
      </c>
      <c r="V5" s="15">
        <f>IF(V2="单",$K$1,IF(V2="双",$K$2,0))-V3-V6</f>
        <v/>
      </c>
      <c r="W5" s="15">
        <f>IF(W2="单",$K$1,IF(W2="双",$K$2,0))-W3-W6</f>
        <v/>
      </c>
      <c r="X5" s="15">
        <f>IF(X2="单",$K$1,IF(X2="双",$K$2,0))-X3-X6</f>
        <v/>
      </c>
      <c r="Y5" s="15">
        <f>IF(Y2="单",$K$1,IF(Y2="双",$K$2,0))-Y3-Y6</f>
        <v/>
      </c>
      <c r="Z5" s="15">
        <f>IF(Z2="单",$K$1,IF(Z2="双",$K$2,0))-Z3-Z6</f>
        <v/>
      </c>
      <c r="AA5" s="15">
        <f>IF(AA2="单",$K$1,IF(AA2="双",$K$2,0))-AA3-AA6</f>
        <v/>
      </c>
      <c r="AB5" s="15">
        <f>IF(AB2="单",$K$1,IF(AB2="双",$K$2,0))-AB3-AB6</f>
        <v/>
      </c>
      <c r="AC5" s="15">
        <f>IF(AC2="单",$K$1,IF(AC2="双",$K$2,0))-AC3-AC6</f>
        <v/>
      </c>
      <c r="AD5" s="15">
        <f>IF(AD2="单",$K$1,IF(AD2="双",$K$2,0))-AD3-AD6</f>
        <v/>
      </c>
      <c r="AE5" s="15">
        <f>IF(AE2="单",$K$1,IF(AE2="双",$K$2,0))-AE3-AE6</f>
        <v/>
      </c>
      <c r="AF5" s="15">
        <f>IF(AF2="单",$K$1,IF(AF2="双",$K$2,0))-AF3-AF6</f>
        <v/>
      </c>
      <c r="AG5" s="15">
        <f>IF(AG2="单",$K$1,IF(AG2="双",$K$2,0))-AG3-AG6</f>
        <v/>
      </c>
      <c r="AH5" s="15">
        <f>IF(AH2="单",$K$1,IF(AH2="双",$K$2,0))-AH3-AH6</f>
        <v/>
      </c>
      <c r="AI5" s="15">
        <f>IF(AI2="单",$K$1,IF(AI2="双",$K$2,0))-AI3-AI6</f>
        <v/>
      </c>
      <c r="AJ5" s="15">
        <f>IF(AJ2="单",$K$1,IF(AJ2="双",$K$2,0))-AJ3-AJ6</f>
        <v/>
      </c>
      <c r="AK5" s="15">
        <f>IF(AK2="单",$K$1,IF(AK2="双",$K$2,0))-AK3-AK6</f>
        <v/>
      </c>
      <c r="AL5" s="15">
        <f>IF(AL2="单",$K$1,IF(AL2="双",$K$2,0))-AL3-AL6</f>
        <v/>
      </c>
      <c r="AM5" s="15">
        <f>IF(AM2="单",$K$1,IF(AM2="双",$K$2,0))-AM3-AM6</f>
        <v/>
      </c>
      <c r="AN5" s="15">
        <f>IF(AN2="单",$K$1,IF(AN2="双",$K$2,0))-AN3-AN6</f>
        <v/>
      </c>
      <c r="AO5" s="15">
        <f>IF(AO2="单",$K$1,IF(AO2="双",$K$2,0))-AO3-AO6</f>
        <v/>
      </c>
      <c r="AP5" s="15">
        <f>IF(AP2="单",$K$1,IF(AP2="双",$K$2,0))-AP3-AP6</f>
        <v/>
      </c>
      <c r="AQ5" s="15">
        <f>IF(AQ2="单",$K$1,IF(AQ2="双",$K$2,0))-AQ3-AQ6</f>
        <v/>
      </c>
      <c r="AR5" s="15">
        <f>IF(AR2="单",$K$1,IF(AR2="双",$K$2,0))-AR3-AR6</f>
        <v/>
      </c>
      <c r="AS5" s="15">
        <f>IF(AS2="单",$K$1,IF(AS2="双",$K$2,0))-AS3-AS6</f>
        <v/>
      </c>
      <c r="AT5" s="15">
        <f>IF(AT2="单",$K$1,IF(AT2="双",$K$2,0))-AT3-AT6</f>
        <v/>
      </c>
      <c r="AU5" s="15">
        <f>IF(AU2="单",$K$1,IF(AU2="双",$K$2,0))-AU3-AU6</f>
        <v/>
      </c>
      <c r="AV5" s="15">
        <f>IF(AV2="单",$K$1,IF(AV2="双",$K$2,0))-AV3-AV6</f>
        <v/>
      </c>
      <c r="AW5" s="15">
        <f>IF(AW2="单",$K$1,IF(AW2="双",$K$2,0))-AW3-AW6</f>
        <v/>
      </c>
      <c r="AX5" s="15">
        <f>IF(AX2="单",$K$1,IF(AX2="双",$K$2,0))-AX3-AX6</f>
        <v/>
      </c>
      <c r="AY5" s="15">
        <f>IF(AY2="单",$K$1,IF(AY2="双",$K$2,0))-AY3-AY6</f>
        <v/>
      </c>
      <c r="AZ5" s="15">
        <f>IF(AZ2="单",$K$1,IF(AZ2="双",$K$2,0))-AZ3-AZ6</f>
        <v/>
      </c>
      <c r="BA5" s="15">
        <f>IF(BA2="单",$K$1,IF(BA2="双",$K$2,0))-BA3-BA6</f>
        <v/>
      </c>
      <c r="BB5" s="15">
        <f>IF(BB2="单",$K$1,IF(BB2="双",$K$2,0))-BB3-BB6</f>
        <v/>
      </c>
      <c r="BC5" s="15">
        <f>IF(BC2="单",$K$1,IF(BC2="双",$K$2,0))-BC3-BC6</f>
        <v/>
      </c>
      <c r="BD5" s="15">
        <f>IF(BD2="单",$K$1,IF(BD2="双",$K$2,0))-BD3-BD6</f>
        <v/>
      </c>
      <c r="BE5" s="15">
        <f>IF(BE2="单",$K$1,IF(BE2="双",$K$2,0))-BE3-BE6</f>
        <v/>
      </c>
      <c r="BF5" s="15">
        <f>IF(BF2="单",$K$1,IF(BF2="双",$K$2,0))-BF3-BF6</f>
        <v/>
      </c>
      <c r="BG5" s="15">
        <f>IF(BG2="单",$K$1,IF(BG2="双",$K$2,0))-BG3-BG6</f>
        <v/>
      </c>
      <c r="BH5" s="15">
        <f>IF(BH2="单",$K$1,IF(BH2="双",$K$2,0))-BH3-BH6</f>
        <v/>
      </c>
      <c r="BI5" s="15">
        <f>IF(BI2="单",$K$1,IF(BI2="双",$K$2,0))-BI3-BI6</f>
        <v/>
      </c>
      <c r="BJ5" s="15">
        <f>IF(BJ2="单",$K$1,IF(BJ2="双",$K$2,0))-BJ3-BJ6</f>
        <v/>
      </c>
      <c r="BK5" s="15">
        <f>IF(BK2="单",$K$1,IF(BK2="双",$K$2,0))-BK3-BK6</f>
        <v/>
      </c>
      <c r="BL5" s="15">
        <f>IF(BL2="单",$K$1,IF(BL2="双",$K$2,0))-BL3-BL6</f>
        <v/>
      </c>
      <c r="BM5" s="15">
        <f>IF(BM2="单",$K$1,IF(BM2="双",$K$2,0))-BM3-BM6</f>
        <v/>
      </c>
      <c r="BN5" s="15">
        <f>IF(BN2="单",$K$1,IF(BN2="双",$K$2,0))-BN3-BN6</f>
        <v/>
      </c>
      <c r="BO5" s="15">
        <f>IF(BO2="单",$K$1,IF(BO2="双",$K$2,0))-BO3-BO6</f>
        <v/>
      </c>
      <c r="BP5" s="15">
        <f>IF(BP2="单",$K$1,IF(BP2="双",$K$2,0))-BP3-BP6</f>
        <v/>
      </c>
      <c r="BQ5" s="15">
        <f>IF(BQ2="单",$K$1,IF(BQ2="双",$K$2,0))-BQ3-BQ6</f>
        <v/>
      </c>
    </row>
    <row r="6" ht="23" customHeight="1" s="91">
      <c r="A6" s="11" t="inlineStr">
        <is>
          <t>物料号</t>
        </is>
      </c>
      <c r="B6" s="11" t="inlineStr">
        <is>
          <t>尺码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t="inlineStr">
        <is>
          <t>尺码</t>
        </is>
      </c>
      <c r="G6" s="97" t="inlineStr">
        <is>
          <t>规格(p*b*z)</t>
        </is>
      </c>
      <c r="H6" s="98" t="n"/>
      <c r="I6" s="111" t="inlineStr">
        <is>
          <t>下单时间</t>
        </is>
      </c>
      <c r="J6" s="112" t="inlineStr">
        <is>
          <t>最晚交货时间</t>
        </is>
      </c>
      <c r="K6" s="15" t="inlineStr">
        <is>
          <t>下单箱数</t>
        </is>
      </c>
      <c r="L6" s="16" t="inlineStr">
        <is>
          <t>下单片数</t>
        </is>
      </c>
      <c r="M6" s="17" t="inlineStr">
        <is>
          <t>剩余排产</t>
        </is>
      </c>
      <c r="N6" s="31">
        <f>SUMPRODUCT($G7:$G9964,$H7:$H9964,N$7:N$9964)</f>
        <v/>
      </c>
      <c r="O6" s="31">
        <f>SUMPRODUCT($G7:$G9964,$H7:$H9964,O$7:O$9964)</f>
        <v/>
      </c>
      <c r="P6" s="31">
        <f>SUMPRODUCT($G7:$G9964,$H7:$H9964,P$7:P$9964)</f>
        <v/>
      </c>
      <c r="Q6" s="31">
        <f>SUMPRODUCT($G7:$G9964,$H7:$H9964,Q$7:Q$9964)</f>
        <v/>
      </c>
      <c r="R6" s="31">
        <f>SUMPRODUCT($G7:$G9964,$H7:$H9964,R$7:R$9964)</f>
        <v/>
      </c>
      <c r="S6" s="31">
        <f>SUMPRODUCT($G7:$G9964,$H7:$H9964,S$7:S$9964)</f>
        <v/>
      </c>
      <c r="T6" s="31">
        <f>SUMPRODUCT($G7:$G9964,$H7:$H9964,T$7:T$9964)</f>
        <v/>
      </c>
      <c r="U6" s="31">
        <f>SUMPRODUCT($G7:$G9964,$H7:$H9964,U$7:U$9964)</f>
        <v/>
      </c>
      <c r="V6" s="31">
        <f>SUMPRODUCT($G7:$G9964,$H7:$H9964,V$7:V$9964)</f>
        <v/>
      </c>
      <c r="W6" s="31">
        <f>SUMPRODUCT($G7:$G9964,$H7:$H9964,W$7:W$9964)</f>
        <v/>
      </c>
      <c r="X6" s="31">
        <f>SUMPRODUCT($G7:$G9964,$H7:$H9964,X$7:X$9964)</f>
        <v/>
      </c>
      <c r="Y6" s="31">
        <f>SUMPRODUCT($G7:$G9964,$H7:$H9964,Y$7:Y$9964)</f>
        <v/>
      </c>
      <c r="Z6" s="31">
        <f>SUMPRODUCT($G7:$G9964,$H7:$H9964,Z$7:Z$9964)</f>
        <v/>
      </c>
      <c r="AA6" s="31">
        <f>SUMPRODUCT($G7:$G9964,$H7:$H9964,AA$7:AA$9964)</f>
        <v/>
      </c>
      <c r="AB6" s="31">
        <f>SUMPRODUCT($G7:$G9964,$H7:$H9964,AB$7:AB$9964)</f>
        <v/>
      </c>
      <c r="AC6" s="31">
        <f>SUMPRODUCT($G7:$G9964,$H7:$H9964,AC$7:AC$9964)</f>
        <v/>
      </c>
      <c r="AD6" s="31">
        <f>SUMPRODUCT($G7:$G9964,$H7:$H9964,AD$7:AD$9964)</f>
        <v/>
      </c>
      <c r="AE6" s="31">
        <f>SUMPRODUCT($G7:$G9964,$H7:$H9964,AE$7:AE$9964)</f>
        <v/>
      </c>
      <c r="AF6" s="31">
        <f>SUMPRODUCT($G7:$G9964,$H7:$H9964,AF$7:AF$9964)</f>
        <v/>
      </c>
      <c r="AG6" s="31">
        <f>SUMPRODUCT($G7:$G9964,$H7:$H9964,AG$7:AG$9964)</f>
        <v/>
      </c>
      <c r="AH6" s="31">
        <f>SUMPRODUCT($G7:$G9964,$H7:$H9964,AH$7:AH$9964)</f>
        <v/>
      </c>
      <c r="AI6" s="31">
        <f>SUMPRODUCT($G7:$G9964,$H7:$H9964,AI$7:AI$9964)</f>
        <v/>
      </c>
      <c r="AJ6" s="31">
        <f>SUMPRODUCT($G7:$G9964,$H7:$H9964,AJ$7:AJ$9964)</f>
        <v/>
      </c>
      <c r="AK6" s="31">
        <f>SUMPRODUCT($G7:$G9964,$H7:$H9964,AK$7:AK$9964)</f>
        <v/>
      </c>
      <c r="AL6" s="31">
        <f>SUMPRODUCT($G7:$G9964,$H7:$H9964,AL$7:AL$9964)</f>
        <v/>
      </c>
      <c r="AM6" s="31">
        <f>SUMPRODUCT($G7:$G9964,$H7:$H9964,AM$7:AM$9964)</f>
        <v/>
      </c>
      <c r="AN6" s="31">
        <f>SUMPRODUCT($G7:$G9964,$H7:$H9964,AN$7:AN$9964)</f>
        <v/>
      </c>
      <c r="AO6" s="31">
        <f>SUMPRODUCT($G7:$G9964,$H7:$H9964,AO$7:AO$9964)</f>
        <v/>
      </c>
      <c r="AP6" s="31">
        <f>SUMPRODUCT($G7:$G9964,$H7:$H9964,AP$7:AP$9964)</f>
        <v/>
      </c>
      <c r="AQ6" s="31">
        <f>SUMPRODUCT($G7:$G9964,$H7:$H9964,AQ$7:AQ$9964)</f>
        <v/>
      </c>
      <c r="AR6" s="31">
        <f>SUMPRODUCT($G7:$G9964,$H7:$H9964,AR$7:AR$9964)</f>
        <v/>
      </c>
      <c r="AS6" s="31">
        <f>SUMPRODUCT($G7:$G9964,$H7:$H9964,AS$7:AS$9964)</f>
        <v/>
      </c>
      <c r="AT6" s="31">
        <f>SUMPRODUCT($G7:$G9964,$H7:$H9964,AT$7:AT$9964)</f>
        <v/>
      </c>
      <c r="AU6" s="31">
        <f>SUMPRODUCT($G7:$G9964,$H7:$H9964,AU$7:AU$9964)</f>
        <v/>
      </c>
      <c r="AV6" s="31">
        <f>SUMPRODUCT($G7:$G9964,$H7:$H9964,AV$7:AV$9964)</f>
        <v/>
      </c>
      <c r="AW6" s="31">
        <f>SUMPRODUCT($G7:$G9964,$H7:$H9964,AW$7:AW$9964)</f>
        <v/>
      </c>
      <c r="AX6" s="31">
        <f>SUMPRODUCT($G7:$G9964,$H7:$H9964,AX$7:AX$9964)</f>
        <v/>
      </c>
      <c r="AY6" s="31">
        <f>SUMPRODUCT($G7:$G9964,$H7:$H9964,AY$7:AY$9964)</f>
        <v/>
      </c>
      <c r="AZ6" s="31">
        <f>SUMPRODUCT($G7:$G9964,$H7:$H9964,AZ$7:AZ$9964)</f>
        <v/>
      </c>
      <c r="BA6" s="31">
        <f>SUMPRODUCT($G7:$G9964,$H7:$H9964,BA$7:BA$9964)</f>
        <v/>
      </c>
      <c r="BB6" s="31">
        <f>SUMPRODUCT($G7:$G9964,$H7:$H9964,BB$7:BB$9964)</f>
        <v/>
      </c>
      <c r="BC6" s="31">
        <f>SUMPRODUCT($G7:$G9964,$H7:$H9964,BC$7:BC$9964)</f>
        <v/>
      </c>
      <c r="BD6" s="31">
        <f>SUMPRODUCT($G7:$G9964,$H7:$H9964,BD$7:BD$9964)</f>
        <v/>
      </c>
      <c r="BE6" s="31">
        <f>SUMPRODUCT($G7:$G9964,$H7:$H9964,BE$7:BE$9964)</f>
        <v/>
      </c>
      <c r="BF6" s="31">
        <f>SUMPRODUCT($G7:$G9964,$H7:$H9964,BF$7:BF$9964)</f>
        <v/>
      </c>
      <c r="BG6" s="31">
        <f>SUMPRODUCT($G7:$G9964,$H7:$H9964,BG$7:BG$9964)</f>
        <v/>
      </c>
      <c r="BH6" s="31">
        <f>SUMPRODUCT($G7:$G9964,$H7:$H9964,BH$7:BH$9964)</f>
        <v/>
      </c>
      <c r="BI6" s="31">
        <f>SUMPRODUCT($G7:$G9964,$H7:$H9964,BI$7:BI$9964)</f>
        <v/>
      </c>
      <c r="BJ6" s="31">
        <f>SUMPRODUCT($G7:$G9964,$H7:$H9964,BJ$7:BJ$9964)</f>
        <v/>
      </c>
      <c r="BK6" s="31">
        <f>SUMPRODUCT($G7:$G9964,$H7:$H9964,BK$7:BK$9964)</f>
        <v/>
      </c>
      <c r="BL6" s="31">
        <f>SUMPRODUCT($G7:$G9964,$H7:$H9964,BL$7:BL$9964)</f>
        <v/>
      </c>
      <c r="BM6" s="31">
        <f>SUMPRODUCT($G7:$G9964,$H7:$H9964,BM$7:BM$9964)</f>
        <v/>
      </c>
      <c r="BN6" s="31">
        <f>SUMPRODUCT($G7:$G9964,$H7:$H9964,BN$7:BN$9964)</f>
        <v/>
      </c>
      <c r="BO6" s="31">
        <f>SUMPRODUCT($G7:$G9964,$H7:$H9964,BO$7:BO$9964)</f>
        <v/>
      </c>
      <c r="BP6" s="31">
        <f>SUMPRODUCT($G7:$G9964,$H7:$H9964,BP$7:BP$9964)</f>
        <v/>
      </c>
      <c r="BQ6" s="31">
        <f>SUMPRODUCT($G7:$G9964,$H7:$H9964,BQ$7:BQ$9964)</f>
        <v/>
      </c>
    </row>
    <row r="7" ht="17.5" customFormat="1" customHeight="1" s="3">
      <c r="A7" s="32" t="inlineStr">
        <is>
          <t>1.1.02.674</t>
        </is>
      </c>
      <c r="B7" s="32" t="n">
        <v>920</v>
      </c>
      <c r="C7" s="32" t="inlineStr">
        <is>
          <t>KJ-20260410-PREDICT</t>
        </is>
      </c>
      <c r="D7" s="32" t="inlineStr">
        <is>
          <t>WO-ZZ00020539</t>
        </is>
      </c>
      <c r="E7" s="33" t="inlineStr">
        <is>
          <t>SUNKISS成人拉拉裤L码(16片*4包) B(整箱)</t>
        </is>
      </c>
      <c r="F7" t="inlineStr">
        <is>
          <t>L</t>
        </is>
      </c>
      <c r="G7" s="32" t="n">
        <v>16</v>
      </c>
      <c r="H7" s="32" t="n">
        <v>4</v>
      </c>
      <c r="I7" s="119" t="n">
        <v>46122</v>
      </c>
      <c r="J7" s="119" t="n">
        <v>46157</v>
      </c>
      <c r="K7" s="32" t="n">
        <v>92</v>
      </c>
      <c r="L7" s="32">
        <f>F6*G6*J6</f>
        <v/>
      </c>
      <c r="M7" s="55" t="n">
        <v>0</v>
      </c>
      <c r="N7" s="28" t="n">
        <v>92</v>
      </c>
      <c r="O7" s="28" t="n"/>
      <c r="P7" s="28" t="n"/>
      <c r="Q7" s="28" t="n"/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  <c r="AA7" s="28" t="n"/>
      <c r="AB7" s="28" t="n"/>
      <c r="AC7" s="28" t="n"/>
      <c r="AD7" s="28" t="n"/>
      <c r="AE7" s="28" t="n"/>
      <c r="AF7" s="28" t="n"/>
      <c r="AG7" s="28" t="n"/>
      <c r="AH7" s="28" t="n"/>
      <c r="AI7" s="28" t="n"/>
      <c r="AJ7" s="28" t="n"/>
      <c r="AK7" s="28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  <c r="BP7" s="28" t="n"/>
      <c r="BQ7" s="28" t="n"/>
    </row>
    <row r="8" ht="17.5" customFormat="1" customHeight="1" s="3">
      <c r="A8" s="35" t="inlineStr">
        <is>
          <t>1.7.03.041</t>
        </is>
      </c>
      <c r="B8" s="35" t="n">
        <v>980</v>
      </c>
      <c r="C8" s="35" t="inlineStr">
        <is>
          <t>CR268021</t>
        </is>
      </c>
      <c r="D8" s="35" t="inlineStr">
        <is>
          <t>WO-ZZ00020500</t>
        </is>
      </c>
      <c r="E8" s="21" t="inlineStr">
        <is>
          <t>BUBBA经期裤L码(8片*10包) (CU001152)</t>
        </is>
      </c>
      <c r="F8" t="inlineStr">
        <is>
          <t>L</t>
        </is>
      </c>
      <c r="G8" s="19" t="n">
        <v>8</v>
      </c>
      <c r="H8" s="19" t="n">
        <v>10</v>
      </c>
      <c r="I8" s="116" t="n">
        <v>46120</v>
      </c>
      <c r="J8" s="117" t="n">
        <v>46155</v>
      </c>
      <c r="K8" s="19" t="n">
        <v>690</v>
      </c>
      <c r="L8" s="19">
        <f>F7*G7*J7</f>
        <v/>
      </c>
      <c r="M8" s="26" t="n">
        <v>0</v>
      </c>
      <c r="N8" s="56" t="n">
        <v>690</v>
      </c>
      <c r="O8" s="56" t="n"/>
      <c r="P8" s="56" t="n"/>
      <c r="Q8" s="56" t="n"/>
      <c r="R8" s="56" t="n"/>
      <c r="S8" s="56" t="n"/>
      <c r="T8" s="56" t="n"/>
      <c r="U8" s="56" t="n"/>
      <c r="V8" s="56" t="n"/>
      <c r="W8" s="56" t="n"/>
      <c r="X8" s="56" t="n"/>
      <c r="Y8" s="56" t="n"/>
      <c r="Z8" s="56" t="n"/>
      <c r="AA8" s="56" t="n"/>
      <c r="AB8" s="56" t="n"/>
      <c r="AC8" s="56" t="n"/>
      <c r="AD8" s="56" t="n"/>
      <c r="AE8" s="56" t="n"/>
      <c r="AF8" s="56" t="n"/>
      <c r="AG8" s="56" t="n"/>
      <c r="AH8" s="56" t="n"/>
      <c r="AI8" s="56" t="n"/>
      <c r="AJ8" s="56" t="n"/>
      <c r="AK8" s="56" t="n"/>
      <c r="AL8" s="56" t="n"/>
      <c r="AM8" s="56" t="n"/>
      <c r="AN8" s="56" t="n"/>
      <c r="AO8" s="56" t="n"/>
      <c r="AP8" s="56" t="n"/>
      <c r="AQ8" s="56" t="n"/>
      <c r="AR8" s="56" t="n"/>
      <c r="AS8" s="56" t="n"/>
      <c r="AT8" s="56" t="n"/>
      <c r="AU8" s="56" t="n"/>
      <c r="AV8" s="56" t="n"/>
      <c r="AW8" s="56" t="n"/>
      <c r="AX8" s="56" t="n"/>
      <c r="AY8" s="56" t="n"/>
      <c r="AZ8" s="56" t="n"/>
      <c r="BA8" s="56" t="n"/>
      <c r="BB8" s="56" t="n"/>
      <c r="BC8" s="56" t="n"/>
      <c r="BD8" s="56" t="n"/>
      <c r="BE8" s="56" t="n"/>
      <c r="BF8" s="56" t="n"/>
      <c r="BG8" s="56" t="n"/>
      <c r="BH8" s="56" t="n"/>
      <c r="BI8" s="56" t="n"/>
      <c r="BJ8" s="56" t="n"/>
      <c r="BK8" s="56" t="n"/>
      <c r="BL8" s="56" t="n"/>
      <c r="BM8" s="56" t="n"/>
      <c r="BN8" s="56" t="n"/>
      <c r="BO8" s="56" t="n"/>
      <c r="BP8" s="56" t="n"/>
      <c r="BQ8" s="56" t="n"/>
    </row>
    <row r="9" ht="17.5" customHeight="1" s="91">
      <c r="A9" s="35" t="inlineStr">
        <is>
          <t>1.7.02.041</t>
        </is>
      </c>
      <c r="B9" s="35" t="n">
        <v>830</v>
      </c>
      <c r="C9" s="35" t="inlineStr">
        <is>
          <t>CR268021</t>
        </is>
      </c>
      <c r="D9" s="35" t="inlineStr">
        <is>
          <t>WO-ZZ00020495</t>
        </is>
      </c>
      <c r="E9" s="21" t="inlineStr">
        <is>
          <t>BUBBA经期裤M码(8片*10包) (CU001152)</t>
        </is>
      </c>
      <c r="F9" t="inlineStr">
        <is>
          <t>M</t>
        </is>
      </c>
      <c r="G9" s="19" t="n">
        <v>8</v>
      </c>
      <c r="H9" s="19" t="n">
        <v>10</v>
      </c>
      <c r="I9" s="116" t="n">
        <v>46120</v>
      </c>
      <c r="J9" s="117" t="n">
        <v>46155</v>
      </c>
      <c r="K9" s="19" t="n">
        <v>690</v>
      </c>
      <c r="L9" s="19">
        <f>F8*G8*J8</f>
        <v/>
      </c>
      <c r="M9" s="26" t="n">
        <v>0</v>
      </c>
      <c r="N9" s="56" t="n">
        <v>136</v>
      </c>
      <c r="O9" s="56" t="n">
        <v>554</v>
      </c>
      <c r="P9" s="56" t="n"/>
      <c r="Q9" s="56" t="n"/>
      <c r="R9" s="56" t="n"/>
      <c r="S9" s="56" t="n"/>
      <c r="T9" s="56" t="n"/>
      <c r="U9" s="56" t="n"/>
      <c r="V9" s="56" t="n"/>
      <c r="W9" s="56" t="n"/>
      <c r="X9" s="56" t="n"/>
      <c r="Y9" s="56" t="n"/>
      <c r="Z9" s="56" t="n"/>
      <c r="AA9" s="56" t="n"/>
      <c r="AB9" s="56" t="n"/>
      <c r="AC9" s="56" t="n"/>
      <c r="AD9" s="56" t="n"/>
      <c r="AE9" s="56" t="n"/>
      <c r="AF9" s="56" t="n"/>
      <c r="AG9" s="56" t="n"/>
      <c r="AH9" s="56" t="n"/>
      <c r="AI9" s="56" t="n"/>
      <c r="AJ9" s="56" t="n"/>
      <c r="AK9" s="56" t="n"/>
      <c r="AL9" s="56" t="n"/>
      <c r="AM9" s="56" t="n"/>
      <c r="AN9" s="56" t="n"/>
      <c r="AO9" s="56" t="n"/>
      <c r="AP9" s="56" t="n"/>
      <c r="AQ9" s="56" t="n"/>
      <c r="AR9" s="56" t="n"/>
      <c r="AS9" s="56" t="n"/>
      <c r="AT9" s="56" t="n"/>
      <c r="AU9" s="56" t="n"/>
      <c r="AV9" s="56" t="n"/>
      <c r="AW9" s="56" t="n"/>
      <c r="AX9" s="56" t="n"/>
      <c r="AY9" s="56" t="n"/>
      <c r="AZ9" s="56" t="n"/>
      <c r="BA9" s="56" t="n"/>
      <c r="BB9" s="56" t="n"/>
      <c r="BC9" s="56" t="n"/>
      <c r="BD9" s="56" t="n"/>
      <c r="BE9" s="56" t="n"/>
      <c r="BF9" s="56" t="n"/>
      <c r="BG9" s="56" t="n"/>
      <c r="BH9" s="56" t="n"/>
      <c r="BI9" s="56" t="n"/>
      <c r="BJ9" s="56" t="n"/>
      <c r="BK9" s="56" t="n"/>
      <c r="BL9" s="56" t="n"/>
      <c r="BM9" s="56" t="n"/>
      <c r="BN9" s="56" t="n"/>
      <c r="BO9" s="56" t="n"/>
      <c r="BP9" s="56" t="n"/>
      <c r="BQ9" s="56" t="n"/>
    </row>
    <row r="10" ht="17.5" customHeight="1" s="91">
      <c r="A10" s="32" t="inlineStr">
        <is>
          <t>1.1.01.667</t>
        </is>
      </c>
      <c r="B10" s="32" t="n">
        <v>830</v>
      </c>
      <c r="C10" s="32" t="inlineStr">
        <is>
          <t>KJ-20260410-PREDICT</t>
        </is>
      </c>
      <c r="D10" s="32" t="inlineStr">
        <is>
          <t>WO-ZZ00020541</t>
        </is>
      </c>
      <c r="E10" s="33" t="inlineStr">
        <is>
          <t>SUNKISS成人拉拉裤M码(16片*4包) B(整箱)</t>
        </is>
      </c>
      <c r="F10" t="inlineStr">
        <is>
          <t>M</t>
        </is>
      </c>
      <c r="G10" s="32" t="n">
        <v>16</v>
      </c>
      <c r="H10" s="32" t="n">
        <v>4</v>
      </c>
      <c r="I10" s="119" t="n">
        <v>46122</v>
      </c>
      <c r="J10" s="119" t="n">
        <v>46157</v>
      </c>
      <c r="K10" s="32" t="n">
        <v>1100</v>
      </c>
      <c r="L10" s="32">
        <f>F9*G9*J9</f>
        <v/>
      </c>
      <c r="M10" s="55" t="n">
        <v>0</v>
      </c>
      <c r="N10" s="28" t="n"/>
      <c r="O10" s="28" t="n">
        <v>433</v>
      </c>
      <c r="P10" s="28" t="n">
        <v>667</v>
      </c>
      <c r="Q10" s="28" t="n"/>
      <c r="R10" s="28" t="n"/>
      <c r="S10" s="28" t="n"/>
      <c r="T10" s="28" t="n"/>
      <c r="U10" s="28" t="n"/>
      <c r="V10" s="28" t="n"/>
      <c r="W10" s="28" t="n"/>
      <c r="X10" s="28" t="n"/>
      <c r="Y10" s="28" t="n"/>
      <c r="Z10" s="28" t="n"/>
      <c r="AA10" s="28" t="n"/>
      <c r="AB10" s="28" t="n"/>
      <c r="AC10" s="28" t="n"/>
      <c r="AD10" s="28" t="n"/>
      <c r="AE10" s="28" t="n"/>
      <c r="AF10" s="28" t="n"/>
      <c r="AG10" s="28" t="n"/>
      <c r="AH10" s="28" t="n"/>
      <c r="AI10" s="28" t="n"/>
      <c r="AJ10" s="28" t="n"/>
      <c r="AK10" s="28" t="n"/>
      <c r="AL10" s="28" t="n"/>
      <c r="AM10" s="28" t="n"/>
      <c r="AN10" s="28" t="n"/>
      <c r="AO10" s="28" t="n"/>
      <c r="AP10" s="28" t="n"/>
      <c r="AQ10" s="28" t="n"/>
      <c r="AR10" s="28" t="n"/>
      <c r="AS10" s="28" t="n"/>
      <c r="AT10" s="28" t="n"/>
      <c r="AU10" s="28" t="n"/>
      <c r="AV10" s="28" t="n"/>
      <c r="AW10" s="28" t="n"/>
      <c r="AX10" s="28" t="n"/>
      <c r="AY10" s="28" t="n"/>
      <c r="AZ10" s="28" t="n"/>
      <c r="BA10" s="28" t="n"/>
      <c r="BB10" s="28" t="n"/>
      <c r="BC10" s="28" t="n"/>
      <c r="BD10" s="28" t="n"/>
      <c r="BE10" s="28" t="n"/>
      <c r="BF10" s="28" t="n"/>
      <c r="BG10" s="28" t="n"/>
      <c r="BH10" s="28" t="n"/>
      <c r="BI10" s="28" t="n"/>
      <c r="BJ10" s="28" t="n"/>
      <c r="BK10" s="28" t="n"/>
      <c r="BL10" s="28" t="n"/>
      <c r="BM10" s="28" t="n"/>
      <c r="BN10" s="28" t="n"/>
      <c r="BO10" s="28" t="n"/>
      <c r="BP10" s="28" t="n"/>
      <c r="BQ10" s="28" t="n"/>
    </row>
    <row r="11" ht="17.5" customHeight="1" s="91">
      <c r="A11" s="32" t="inlineStr">
        <is>
          <t>1.7.02.052</t>
        </is>
      </c>
      <c r="B11" s="32" t="n">
        <v>830</v>
      </c>
      <c r="C11" s="32" t="inlineStr">
        <is>
          <t>KJ-20260410-PREDICT</t>
        </is>
      </c>
      <c r="D11" s="32" t="inlineStr">
        <is>
          <t>WO-ZZ00020542</t>
        </is>
      </c>
      <c r="E11" s="33" t="inlineStr">
        <is>
          <t>MOLLIS成人拉拉裤S/M码(16片*4包) B(整箱)</t>
        </is>
      </c>
      <c r="F11" t="inlineStr">
        <is>
          <t>M</t>
        </is>
      </c>
      <c r="G11" s="32" t="n">
        <v>16</v>
      </c>
      <c r="H11" s="32" t="n">
        <v>4</v>
      </c>
      <c r="I11" s="119" t="n">
        <v>46122</v>
      </c>
      <c r="J11" s="119" t="n">
        <v>46157</v>
      </c>
      <c r="K11" s="32" t="n">
        <v>100</v>
      </c>
      <c r="L11" s="32">
        <f>F10*G10*J10</f>
        <v/>
      </c>
      <c r="M11" s="55" t="n">
        <v>0</v>
      </c>
      <c r="N11" s="28" t="n"/>
      <c r="O11" s="28" t="n"/>
      <c r="P11" s="28" t="n">
        <v>100</v>
      </c>
      <c r="Q11" s="28" t="n"/>
      <c r="R11" s="28" t="n"/>
      <c r="S11" s="28" t="n"/>
      <c r="T11" s="28" t="n"/>
      <c r="U11" s="28" t="n"/>
      <c r="V11" s="28" t="n"/>
      <c r="W11" s="28" t="n"/>
      <c r="X11" s="28" t="n"/>
      <c r="Y11" s="28" t="n"/>
      <c r="Z11" s="28" t="n"/>
      <c r="AA11" s="28" t="n"/>
      <c r="AB11" s="28" t="n"/>
      <c r="AC11" s="28" t="n"/>
      <c r="AD11" s="28" t="n"/>
      <c r="AE11" s="28" t="n"/>
      <c r="AF11" s="28" t="n"/>
      <c r="AG11" s="28" t="n"/>
      <c r="AH11" s="28" t="n"/>
      <c r="AI11" s="28" t="n"/>
      <c r="AJ11" s="28" t="n"/>
      <c r="AK11" s="28" t="n"/>
      <c r="AL11" s="28" t="n"/>
      <c r="AM11" s="28" t="n"/>
      <c r="AN11" s="28" t="n"/>
      <c r="AO11" s="28" t="n"/>
      <c r="AP11" s="28" t="n"/>
      <c r="AQ11" s="28" t="n"/>
      <c r="AR11" s="28" t="n"/>
      <c r="AS11" s="28" t="n"/>
      <c r="AT11" s="28" t="n"/>
      <c r="AU11" s="28" t="n"/>
      <c r="AV11" s="28" t="n"/>
      <c r="AW11" s="28" t="n"/>
      <c r="AX11" s="28" t="n"/>
      <c r="AY11" s="28" t="n"/>
      <c r="AZ11" s="28" t="n"/>
      <c r="BA11" s="28" t="n"/>
      <c r="BB11" s="28" t="n"/>
      <c r="BC11" s="28" t="n"/>
      <c r="BD11" s="28" t="n"/>
      <c r="BE11" s="28" t="n"/>
      <c r="BF11" s="28" t="n"/>
      <c r="BG11" s="28" t="n"/>
      <c r="BH11" s="28" t="n"/>
      <c r="BI11" s="28" t="n"/>
      <c r="BJ11" s="28" t="n"/>
      <c r="BK11" s="28" t="n"/>
      <c r="BL11" s="28" t="n"/>
      <c r="BM11" s="28" t="n"/>
      <c r="BN11" s="28" t="n"/>
      <c r="BO11" s="28" t="n"/>
      <c r="BP11" s="28" t="n"/>
      <c r="BQ11" s="28" t="n"/>
    </row>
    <row r="12" ht="16" customHeight="1" s="91">
      <c r="A12" s="32" t="inlineStr">
        <is>
          <t>1.7.02.051</t>
        </is>
      </c>
      <c r="B12" s="32" t="n">
        <v>830</v>
      </c>
      <c r="C12" s="32" t="inlineStr">
        <is>
          <t>KJ-20260410-PREDICT</t>
        </is>
      </c>
      <c r="D12" s="32" t="inlineStr">
        <is>
          <t>WO-ZZ00020543</t>
        </is>
      </c>
      <c r="E12" s="33" t="inlineStr">
        <is>
          <t>MOLLIS成人拉拉裤S/M码(16片*4包)</t>
        </is>
      </c>
      <c r="F12" t="inlineStr">
        <is>
          <t>M</t>
        </is>
      </c>
      <c r="G12" s="32" t="n">
        <v>16</v>
      </c>
      <c r="H12" s="32" t="n">
        <v>4</v>
      </c>
      <c r="I12" s="119" t="n">
        <v>46122</v>
      </c>
      <c r="J12" s="119" t="n">
        <v>46157</v>
      </c>
      <c r="K12" s="32" t="n">
        <v>100</v>
      </c>
      <c r="L12" s="32">
        <f>F11*G11*J11</f>
        <v/>
      </c>
      <c r="M12" s="55" t="n">
        <v>0</v>
      </c>
      <c r="N12" s="28" t="n"/>
      <c r="O12" s="28" t="n"/>
      <c r="P12" s="28" t="n">
        <v>100</v>
      </c>
      <c r="Q12" s="28" t="n"/>
      <c r="R12" s="28" t="n"/>
      <c r="S12" s="28" t="n"/>
      <c r="T12" s="28" t="n"/>
      <c r="U12" s="28" t="n"/>
      <c r="V12" s="28" t="n"/>
      <c r="W12" s="28" t="n"/>
      <c r="X12" s="28" t="n"/>
      <c r="Y12" s="28" t="n"/>
      <c r="Z12" s="28" t="n"/>
      <c r="AA12" s="28" t="n"/>
      <c r="AB12" s="28" t="n"/>
      <c r="AC12" s="28" t="n"/>
      <c r="AD12" s="28" t="n"/>
      <c r="AE12" s="28" t="n"/>
      <c r="AF12" s="28" t="n"/>
      <c r="AG12" s="28" t="n"/>
      <c r="AH12" s="28" t="n"/>
      <c r="AI12" s="28" t="n"/>
      <c r="AJ12" s="28" t="n"/>
      <c r="AK12" s="28" t="n"/>
      <c r="AL12" s="28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8" t="n"/>
      <c r="BA12" s="28" t="n"/>
      <c r="BB12" s="28" t="n"/>
      <c r="BC12" s="28" t="n"/>
      <c r="BD12" s="28" t="n"/>
      <c r="BE12" s="28" t="n"/>
      <c r="BF12" s="28" t="n"/>
      <c r="BG12" s="28" t="n"/>
      <c r="BH12" s="28" t="n"/>
      <c r="BI12" s="28" t="n"/>
      <c r="BJ12" s="28" t="n"/>
      <c r="BK12" s="28" t="n"/>
      <c r="BL12" s="28" t="n"/>
      <c r="BM12" s="28" t="n"/>
      <c r="BN12" s="28" t="n"/>
      <c r="BO12" s="28" t="n"/>
      <c r="BP12" s="28" t="n"/>
      <c r="BQ12" s="28" t="n"/>
    </row>
    <row r="13" ht="17.5" customFormat="1" customHeight="1" s="3">
      <c r="A13" s="32" t="inlineStr">
        <is>
          <t>1.7.02.039</t>
        </is>
      </c>
      <c r="B13" s="32" t="n">
        <v>830</v>
      </c>
      <c r="C13" s="32" t="inlineStr">
        <is>
          <t>KJ-20260410-PREDICT</t>
        </is>
      </c>
      <c r="D13" s="32" t="inlineStr">
        <is>
          <t>WO-ZZ00020544</t>
        </is>
      </c>
      <c r="E13" s="33" t="inlineStr">
        <is>
          <t>SUNKISS成人拉拉裤M码(16片*4包)</t>
        </is>
      </c>
      <c r="F13" t="inlineStr">
        <is>
          <t>M</t>
        </is>
      </c>
      <c r="G13" s="32" t="n">
        <v>16</v>
      </c>
      <c r="H13" s="32" t="n">
        <v>4</v>
      </c>
      <c r="I13" s="119" t="n">
        <v>46122</v>
      </c>
      <c r="J13" s="119" t="n">
        <v>46157</v>
      </c>
      <c r="K13" s="32" t="n">
        <v>1450</v>
      </c>
      <c r="L13" s="32">
        <f>F12*G12*J12</f>
        <v/>
      </c>
      <c r="M13" s="55" t="n">
        <v>0</v>
      </c>
      <c r="N13" s="28" t="n"/>
      <c r="O13" s="28" t="n"/>
      <c r="P13" s="28" t="n">
        <v>258</v>
      </c>
      <c r="Q13" s="28" t="n">
        <v>1125</v>
      </c>
      <c r="R13" s="28" t="n"/>
      <c r="S13" s="28" t="n">
        <v>67</v>
      </c>
      <c r="T13" s="28" t="n"/>
      <c r="U13" s="28" t="n"/>
      <c r="V13" s="28" t="n"/>
      <c r="W13" s="28" t="n"/>
      <c r="X13" s="28" t="n"/>
      <c r="Y13" s="28" t="n"/>
      <c r="Z13" s="28" t="n"/>
      <c r="AA13" s="28" t="n"/>
      <c r="AB13" s="28" t="n"/>
      <c r="AC13" s="28" t="n"/>
      <c r="AD13" s="28" t="n"/>
      <c r="AE13" s="28" t="n"/>
      <c r="AF13" s="28" t="n"/>
      <c r="AG13" s="28" t="n"/>
      <c r="AH13" s="28" t="n"/>
      <c r="AI13" s="28" t="n"/>
      <c r="AJ13" s="28" t="n"/>
      <c r="AK13" s="28" t="n"/>
      <c r="AL13" s="28" t="n"/>
      <c r="AM13" s="28" t="n"/>
      <c r="AN13" s="28" t="n"/>
      <c r="AO13" s="28" t="n"/>
      <c r="AP13" s="28" t="n"/>
      <c r="AQ13" s="28" t="n"/>
      <c r="AR13" s="28" t="n"/>
      <c r="AS13" s="28" t="n"/>
      <c r="AT13" s="28" t="n"/>
      <c r="AU13" s="28" t="n"/>
      <c r="AV13" s="28" t="n"/>
      <c r="AW13" s="28" t="n"/>
      <c r="AX13" s="28" t="n"/>
      <c r="AY13" s="28" t="n"/>
      <c r="AZ13" s="28" t="n"/>
      <c r="BA13" s="28" t="n"/>
      <c r="BB13" s="28" t="n"/>
      <c r="BC13" s="28" t="n"/>
      <c r="BD13" s="28" t="n"/>
      <c r="BE13" s="28" t="n"/>
      <c r="BF13" s="28" t="n"/>
      <c r="BG13" s="28" t="n"/>
      <c r="BH13" s="28" t="n"/>
      <c r="BI13" s="28" t="n"/>
      <c r="BJ13" s="28" t="n"/>
      <c r="BK13" s="28" t="n"/>
      <c r="BL13" s="28" t="n"/>
      <c r="BM13" s="28" t="n"/>
      <c r="BN13" s="28" t="n"/>
      <c r="BO13" s="28" t="n"/>
      <c r="BP13" s="28" t="n"/>
      <c r="BQ13" s="28" t="n"/>
    </row>
    <row r="14" ht="17.5" customFormat="1" customHeight="1" s="3">
      <c r="A14" s="35" t="inlineStr">
        <is>
          <t>1.7.02.028</t>
        </is>
      </c>
      <c r="B14" s="35" t="n">
        <v>880</v>
      </c>
      <c r="C14" s="35" t="inlineStr">
        <is>
          <t>CR269028</t>
        </is>
      </c>
      <c r="D14" s="35" t="inlineStr">
        <is>
          <t>WO-ZZ00020498</t>
        </is>
      </c>
      <c r="E14" s="21" t="inlineStr">
        <is>
          <t>FORLIFE台湾版成人拉拉裤M-L(10片*12包)(CU000199)</t>
        </is>
      </c>
      <c r="F14" t="inlineStr">
        <is>
          <t>L</t>
        </is>
      </c>
      <c r="G14" s="19" t="n">
        <v>10</v>
      </c>
      <c r="H14" s="19" t="n">
        <v>12</v>
      </c>
      <c r="I14" s="116" t="n">
        <v>46112</v>
      </c>
      <c r="J14" s="117" t="n">
        <v>46174</v>
      </c>
      <c r="K14" s="19" t="n">
        <v>50</v>
      </c>
      <c r="L14" s="19">
        <f>F13*G13*J13</f>
        <v/>
      </c>
      <c r="M14" s="26" t="n">
        <v>0</v>
      </c>
      <c r="N14" s="56" t="n"/>
      <c r="O14" s="56" t="n"/>
      <c r="P14" s="56" t="n"/>
      <c r="Q14" s="56" t="n"/>
      <c r="R14" s="56" t="n"/>
      <c r="S14" s="56" t="n">
        <v>50</v>
      </c>
      <c r="T14" s="56" t="n"/>
      <c r="U14" s="56" t="n"/>
      <c r="V14" s="56" t="n"/>
      <c r="W14" s="56" t="n"/>
      <c r="X14" s="56" t="n"/>
      <c r="Y14" s="56" t="n"/>
      <c r="Z14" s="56" t="n"/>
      <c r="AA14" s="56" t="n"/>
      <c r="AB14" s="56" t="n"/>
      <c r="AC14" s="56" t="n"/>
      <c r="AD14" s="56" t="n"/>
      <c r="AE14" s="56" t="n"/>
      <c r="AF14" s="56" t="n"/>
      <c r="AG14" s="56" t="n"/>
      <c r="AH14" s="56" t="n"/>
      <c r="AI14" s="56" t="n"/>
      <c r="AJ14" s="56" t="n"/>
      <c r="AK14" s="56" t="n"/>
      <c r="AL14" s="56" t="n"/>
      <c r="AM14" s="56" t="n"/>
      <c r="AN14" s="56" t="n"/>
      <c r="AO14" s="56" t="n"/>
      <c r="AP14" s="56" t="n"/>
      <c r="AQ14" s="56" t="n"/>
      <c r="AR14" s="56" t="n"/>
      <c r="AS14" s="56" t="n"/>
      <c r="AT14" s="56" t="n"/>
      <c r="AU14" s="56" t="n"/>
      <c r="AV14" s="56" t="n"/>
      <c r="AW14" s="56" t="n"/>
      <c r="AX14" s="56" t="n"/>
      <c r="AY14" s="56" t="n"/>
      <c r="AZ14" s="56" t="n"/>
      <c r="BA14" s="56" t="n"/>
      <c r="BB14" s="56" t="n"/>
      <c r="BC14" s="56" t="n"/>
      <c r="BD14" s="56" t="n"/>
      <c r="BE14" s="56" t="n"/>
      <c r="BF14" s="56" t="n"/>
      <c r="BG14" s="56" t="n"/>
      <c r="BH14" s="56" t="n"/>
      <c r="BI14" s="56" t="n"/>
      <c r="BJ14" s="56" t="n"/>
      <c r="BK14" s="56" t="n"/>
      <c r="BL14" s="56" t="n"/>
      <c r="BM14" s="56" t="n"/>
      <c r="BN14" s="56" t="n"/>
      <c r="BO14" s="56" t="n"/>
      <c r="BP14" s="56" t="n"/>
      <c r="BQ14" s="56" t="n"/>
    </row>
    <row r="15" ht="17.5" customHeight="1" s="91">
      <c r="A15" s="35" t="inlineStr">
        <is>
          <t>1.7.03.005</t>
        </is>
      </c>
      <c r="B15" s="35" t="n">
        <v>920</v>
      </c>
      <c r="C15" s="35" t="inlineStr">
        <is>
          <t>DS-20260402-001</t>
        </is>
      </c>
      <c r="D15" s="35" t="inlineStr">
        <is>
          <t>WO-ZZ00020499</t>
        </is>
      </c>
      <c r="E15" s="21" t="inlineStr">
        <is>
          <t>ZAKO珍琦基本型成人拉拉裤L码</t>
        </is>
      </c>
      <c r="F15" t="inlineStr">
        <is>
          <t>L</t>
        </is>
      </c>
      <c r="G15" s="19" t="n">
        <v>10</v>
      </c>
      <c r="H15" s="19" t="n">
        <v>4</v>
      </c>
      <c r="I15" s="116" t="n">
        <v>46114</v>
      </c>
      <c r="J15" s="117" t="n">
        <v>46167</v>
      </c>
      <c r="K15" s="19" t="n">
        <v>800</v>
      </c>
      <c r="L15" s="19">
        <f>F14*G14*J14</f>
        <v/>
      </c>
      <c r="M15" s="26" t="n">
        <v>0</v>
      </c>
      <c r="N15" s="56" t="n"/>
      <c r="O15" s="56" t="n"/>
      <c r="P15" s="56" t="n"/>
      <c r="Q15" s="56" t="n"/>
      <c r="R15" s="56" t="n"/>
      <c r="S15" s="56" t="n">
        <v>800</v>
      </c>
      <c r="T15" s="56" t="n"/>
      <c r="U15" s="56" t="n"/>
      <c r="V15" s="56" t="n"/>
      <c r="W15" s="56" t="n"/>
      <c r="X15" s="56" t="n"/>
      <c r="Y15" s="56" t="n"/>
      <c r="Z15" s="56" t="n"/>
      <c r="AA15" s="56" t="n"/>
      <c r="AB15" s="56" t="n"/>
      <c r="AC15" s="56" t="n"/>
      <c r="AD15" s="56" t="n"/>
      <c r="AE15" s="56" t="n"/>
      <c r="AF15" s="56" t="n"/>
      <c r="AG15" s="56" t="n"/>
      <c r="AH15" s="56" t="n"/>
      <c r="AI15" s="56" t="n"/>
      <c r="AJ15" s="56" t="n"/>
      <c r="AK15" s="56" t="n"/>
      <c r="AL15" s="56" t="n"/>
      <c r="AM15" s="56" t="n"/>
      <c r="AN15" s="56" t="n"/>
      <c r="AO15" s="56" t="n"/>
      <c r="AP15" s="56" t="n"/>
      <c r="AQ15" s="56" t="n"/>
      <c r="AR15" s="56" t="n"/>
      <c r="AS15" s="56" t="n"/>
      <c r="AT15" s="56" t="n"/>
      <c r="AU15" s="56" t="n"/>
      <c r="AV15" s="56" t="n"/>
      <c r="AW15" s="56" t="n"/>
      <c r="AX15" s="56" t="n"/>
      <c r="AY15" s="56" t="n"/>
      <c r="AZ15" s="56" t="n"/>
      <c r="BA15" s="56" t="n"/>
      <c r="BB15" s="56" t="n"/>
      <c r="BC15" s="56" t="n"/>
      <c r="BD15" s="56" t="n"/>
      <c r="BE15" s="56" t="n"/>
      <c r="BF15" s="56" t="n"/>
      <c r="BG15" s="56" t="n"/>
      <c r="BH15" s="56" t="n"/>
      <c r="BI15" s="56" t="n"/>
      <c r="BJ15" s="56" t="n"/>
      <c r="BK15" s="56" t="n"/>
      <c r="BL15" s="56" t="n"/>
      <c r="BM15" s="56" t="n"/>
      <c r="BN15" s="56" t="n"/>
      <c r="BO15" s="56" t="n"/>
      <c r="BP15" s="56" t="n"/>
      <c r="BQ15" s="56" t="n"/>
    </row>
    <row r="16" ht="17.5" customHeight="1" s="91">
      <c r="A16" s="32" t="inlineStr">
        <is>
          <t>1.1.02.674</t>
        </is>
      </c>
      <c r="B16" s="32" t="n">
        <v>920</v>
      </c>
      <c r="C16" s="32" t="inlineStr">
        <is>
          <t>KJ-20260410-PREDICT</t>
        </is>
      </c>
      <c r="D16" s="32" t="inlineStr">
        <is>
          <t>WO-ZZ00020687</t>
        </is>
      </c>
      <c r="E16" s="33" t="inlineStr">
        <is>
          <t>SUNKISS成人拉拉裤L码(16片*4包) B(整箱)</t>
        </is>
      </c>
      <c r="F16" t="inlineStr">
        <is>
          <t>L</t>
        </is>
      </c>
      <c r="G16" s="32" t="n">
        <v>16</v>
      </c>
      <c r="H16" s="32" t="n">
        <v>4</v>
      </c>
      <c r="I16" s="119" t="n">
        <v>46122</v>
      </c>
      <c r="J16" s="119" t="n">
        <v>46157</v>
      </c>
      <c r="K16" s="32" t="n">
        <v>400</v>
      </c>
      <c r="L16" s="32">
        <f>F15*G15*J15</f>
        <v/>
      </c>
      <c r="M16" s="55" t="n">
        <v>0</v>
      </c>
      <c r="N16" s="28" t="n"/>
      <c r="O16" s="28" t="n"/>
      <c r="P16" s="28" t="n"/>
      <c r="Q16" s="28" t="n"/>
      <c r="R16" s="28" t="n"/>
      <c r="S16" s="28" t="n">
        <v>400</v>
      </c>
      <c r="T16" s="28" t="n"/>
      <c r="U16" s="28" t="n"/>
      <c r="V16" s="28" t="n"/>
      <c r="W16" s="28" t="n"/>
      <c r="X16" s="28" t="n"/>
      <c r="Y16" s="28" t="n"/>
      <c r="Z16" s="28" t="n"/>
      <c r="AA16" s="28" t="n"/>
      <c r="AB16" s="28" t="n"/>
      <c r="AC16" s="28" t="n"/>
      <c r="AD16" s="28" t="n"/>
      <c r="AE16" s="28" t="n"/>
      <c r="AF16" s="28" t="n"/>
      <c r="AG16" s="28" t="n"/>
      <c r="AH16" s="28" t="n"/>
      <c r="AI16" s="28" t="n"/>
      <c r="AJ16" s="28" t="n"/>
      <c r="AK16" s="28" t="n"/>
      <c r="AL16" s="28" t="n"/>
      <c r="AM16" s="28" t="n"/>
      <c r="AN16" s="28" t="n"/>
      <c r="AO16" s="28" t="n"/>
      <c r="AP16" s="28" t="n"/>
      <c r="AQ16" s="28" t="n"/>
      <c r="AR16" s="28" t="n"/>
      <c r="AS16" s="28" t="n"/>
      <c r="AT16" s="28" t="n"/>
      <c r="AU16" s="28" t="n"/>
      <c r="AV16" s="28" t="n"/>
      <c r="AW16" s="28" t="n"/>
      <c r="AX16" s="28" t="n"/>
      <c r="AY16" s="28" t="n"/>
      <c r="AZ16" s="28" t="n"/>
      <c r="BA16" s="28" t="n"/>
      <c r="BB16" s="28" t="n"/>
      <c r="BC16" s="28" t="n"/>
      <c r="BD16" s="28" t="n"/>
      <c r="BE16" s="28" t="n"/>
      <c r="BF16" s="28" t="n"/>
      <c r="BG16" s="28" t="n"/>
      <c r="BH16" s="28" t="n"/>
      <c r="BI16" s="28" t="n"/>
      <c r="BJ16" s="28" t="n"/>
      <c r="BK16" s="28" t="n"/>
      <c r="BL16" s="28" t="n"/>
      <c r="BM16" s="28" t="n"/>
      <c r="BN16" s="28" t="n"/>
      <c r="BO16" s="28" t="n"/>
      <c r="BP16" s="28" t="n"/>
      <c r="BQ16" s="28" t="n"/>
    </row>
    <row r="17" ht="17.5" customHeight="1" s="91">
      <c r="A17" s="32" t="inlineStr">
        <is>
          <t>1.7.03.038</t>
        </is>
      </c>
      <c r="B17" s="32" t="n">
        <v>920</v>
      </c>
      <c r="C17" s="32" t="inlineStr">
        <is>
          <t>KJ-20260410-PREDICT</t>
        </is>
      </c>
      <c r="D17" s="32" t="inlineStr">
        <is>
          <t>WO-ZZ00020540</t>
        </is>
      </c>
      <c r="E17" s="33" t="inlineStr">
        <is>
          <t>SUNKISS成人拉拉裤L码(16片*4包)</t>
        </is>
      </c>
      <c r="F17" t="inlineStr">
        <is>
          <t>L</t>
        </is>
      </c>
      <c r="G17" s="32" t="n">
        <v>16</v>
      </c>
      <c r="H17" s="32" t="n">
        <v>4</v>
      </c>
      <c r="I17" s="119" t="n">
        <v>46122</v>
      </c>
      <c r="J17" s="119" t="n">
        <v>46162</v>
      </c>
      <c r="K17" s="32" t="n">
        <v>1700</v>
      </c>
      <c r="L17" s="32">
        <f>F16*G16*J16</f>
        <v/>
      </c>
      <c r="M17" s="55" t="n">
        <v>0</v>
      </c>
      <c r="N17" s="28" t="n"/>
      <c r="O17" s="28" t="n"/>
      <c r="P17" s="28" t="n"/>
      <c r="Q17" s="28" t="n"/>
      <c r="R17" s="28" t="n"/>
      <c r="S17" s="28" t="n">
        <v>64</v>
      </c>
      <c r="T17" s="28" t="n">
        <v>1125</v>
      </c>
      <c r="U17" s="28" t="n">
        <v>511</v>
      </c>
      <c r="V17" s="28" t="n"/>
      <c r="W17" s="28" t="n"/>
      <c r="X17" s="28" t="n"/>
      <c r="Y17" s="28" t="n"/>
      <c r="Z17" s="28" t="n"/>
      <c r="AA17" s="28" t="n"/>
      <c r="AB17" s="28" t="n"/>
      <c r="AC17" s="28" t="n"/>
      <c r="AD17" s="28" t="n"/>
      <c r="AE17" s="28" t="n"/>
      <c r="AF17" s="28" t="n"/>
      <c r="AG17" s="28" t="n"/>
      <c r="AH17" s="28" t="n"/>
      <c r="AI17" s="28" t="n"/>
      <c r="AJ17" s="28" t="n"/>
      <c r="AK17" s="28" t="n"/>
      <c r="AL17" s="28" t="n"/>
      <c r="AM17" s="28" t="n"/>
      <c r="AN17" s="28" t="n"/>
      <c r="AO17" s="28" t="n"/>
      <c r="AP17" s="28" t="n"/>
      <c r="AQ17" s="28" t="n"/>
      <c r="AR17" s="28" t="n"/>
      <c r="AS17" s="28" t="n"/>
      <c r="AT17" s="28" t="n"/>
      <c r="AU17" s="28" t="n"/>
      <c r="AV17" s="28" t="n"/>
      <c r="AW17" s="28" t="n"/>
      <c r="AX17" s="28" t="n"/>
      <c r="AY17" s="28" t="n"/>
      <c r="AZ17" s="28" t="n"/>
      <c r="BA17" s="28" t="n"/>
      <c r="BB17" s="28" t="n"/>
      <c r="BC17" s="28" t="n"/>
      <c r="BD17" s="28" t="n"/>
      <c r="BE17" s="28" t="n"/>
      <c r="BF17" s="28" t="n"/>
      <c r="BG17" s="28" t="n"/>
      <c r="BH17" s="28" t="n"/>
      <c r="BI17" s="28" t="n"/>
      <c r="BJ17" s="28" t="n"/>
      <c r="BK17" s="28" t="n"/>
      <c r="BL17" s="28" t="n"/>
      <c r="BM17" s="28" t="n"/>
      <c r="BN17" s="28" t="n"/>
      <c r="BO17" s="28" t="n"/>
      <c r="BP17" s="28" t="n"/>
      <c r="BQ17" s="28" t="n"/>
    </row>
    <row r="18" ht="17.5" customHeight="1" s="91">
      <c r="A18" s="35" t="inlineStr">
        <is>
          <t>1.7.02.053</t>
        </is>
      </c>
      <c r="B18" s="35" t="n"/>
      <c r="C18" s="35" t="inlineStr">
        <is>
          <t>NM-20260424001</t>
        </is>
      </c>
      <c r="D18" s="35" t="inlineStr">
        <is>
          <t>WO-ZZ00020688</t>
        </is>
      </c>
      <c r="E18" s="21" t="inlineStr">
        <is>
          <t>珍琦SUNKISS增强系列成人内裤式纸尿裤M码（10片*8包）</t>
        </is>
      </c>
      <c r="F18" t="inlineStr">
        <is>
          <t>M</t>
        </is>
      </c>
      <c r="G18" s="19" t="n">
        <v>10</v>
      </c>
      <c r="H18" s="19" t="n">
        <v>8</v>
      </c>
      <c r="I18" s="116" t="n">
        <v>46136</v>
      </c>
      <c r="J18" s="117" t="n">
        <v>46166</v>
      </c>
      <c r="K18" s="19" t="n">
        <v>380</v>
      </c>
      <c r="L18" s="19">
        <f>F17*G17*J17</f>
        <v/>
      </c>
      <c r="M18" s="19" t="n">
        <v>0</v>
      </c>
      <c r="N18" s="28" t="n"/>
      <c r="O18" s="28" t="n"/>
      <c r="P18" s="28" t="n"/>
      <c r="Q18" s="28" t="n"/>
      <c r="R18" s="28" t="n"/>
      <c r="S18" s="28" t="n"/>
      <c r="T18" s="28" t="n"/>
      <c r="U18" s="28" t="n">
        <v>380</v>
      </c>
      <c r="V18" s="28" t="n"/>
      <c r="W18" s="28" t="n"/>
      <c r="X18" s="28" t="n"/>
      <c r="Y18" s="28" t="n"/>
      <c r="Z18" s="28" t="n"/>
      <c r="AA18" s="28" t="n"/>
      <c r="AB18" s="28" t="n"/>
      <c r="AC18" s="28" t="n"/>
      <c r="AD18" s="28" t="n"/>
      <c r="AE18" s="28" t="n"/>
      <c r="AF18" s="28" t="n"/>
      <c r="AG18" s="28" t="n"/>
      <c r="AH18" s="28" t="n"/>
      <c r="AI18" s="28" t="n"/>
      <c r="AJ18" s="28" t="n"/>
      <c r="AK18" s="28" t="n"/>
      <c r="AL18" s="28" t="n"/>
      <c r="AM18" s="28" t="n"/>
      <c r="AN18" s="28" t="n"/>
      <c r="AO18" s="28" t="n"/>
      <c r="AP18" s="28" t="n"/>
      <c r="AQ18" s="28" t="n"/>
      <c r="AR18" s="28" t="n"/>
      <c r="AS18" s="28" t="n"/>
      <c r="AT18" s="28" t="n"/>
      <c r="AU18" s="28" t="n"/>
      <c r="AV18" s="28" t="n"/>
      <c r="AW18" s="28" t="n"/>
      <c r="AX18" s="28" t="n"/>
      <c r="AY18" s="28" t="n"/>
      <c r="AZ18" s="28" t="n"/>
      <c r="BA18" s="28" t="n"/>
      <c r="BB18" s="28" t="n"/>
      <c r="BC18" s="28" t="n"/>
      <c r="BD18" s="28" t="n"/>
      <c r="BE18" s="28" t="n"/>
      <c r="BF18" s="28" t="n"/>
      <c r="BG18" s="28" t="n"/>
      <c r="BH18" s="28" t="n"/>
      <c r="BI18" s="28" t="n"/>
      <c r="BJ18" s="28" t="n"/>
      <c r="BK18" s="28" t="n"/>
      <c r="BL18" s="28" t="n"/>
      <c r="BM18" s="28" t="n"/>
      <c r="BN18" s="28" t="n"/>
      <c r="BO18" s="28" t="n"/>
      <c r="BP18" s="28" t="n"/>
      <c r="BQ18" s="28" t="n"/>
    </row>
    <row r="19" ht="17.5" customHeight="1" s="91">
      <c r="A19" s="35" t="inlineStr">
        <is>
          <t>1.7.02.054</t>
        </is>
      </c>
      <c r="B19" s="35" t="n"/>
      <c r="C19" s="35" t="inlineStr">
        <is>
          <t>NM-20260424001</t>
        </is>
      </c>
      <c r="D19" s="35" t="inlineStr">
        <is>
          <t>WO-ZZ00020689</t>
        </is>
      </c>
      <c r="E19" s="21" t="inlineStr">
        <is>
          <t>贴静舒爽系列成人  内裤式  纸尿裤  M码（10片*8包）</t>
        </is>
      </c>
      <c r="F19" t="inlineStr">
        <is>
          <t>M</t>
        </is>
      </c>
      <c r="G19" s="19" t="n">
        <v>10</v>
      </c>
      <c r="H19" s="19" t="n">
        <v>8</v>
      </c>
      <c r="I19" s="116" t="n">
        <v>46136</v>
      </c>
      <c r="J19" s="117" t="n">
        <v>46166</v>
      </c>
      <c r="K19" s="19" t="n">
        <v>625</v>
      </c>
      <c r="L19" s="19">
        <f>F18*G18*J18</f>
        <v/>
      </c>
      <c r="M19" s="19" t="n">
        <v>0</v>
      </c>
      <c r="N19" s="28" t="n"/>
      <c r="O19" s="28" t="n"/>
      <c r="P19" s="28" t="n"/>
      <c r="Q19" s="28" t="n"/>
      <c r="R19" s="28" t="n"/>
      <c r="S19" s="28" t="n"/>
      <c r="T19" s="28" t="n"/>
      <c r="U19" s="28" t="n">
        <v>111</v>
      </c>
      <c r="V19" s="28" t="n">
        <v>514</v>
      </c>
      <c r="W19" s="28" t="n"/>
      <c r="X19" s="28" t="n"/>
      <c r="Y19" s="28" t="n"/>
      <c r="Z19" s="28" t="n"/>
      <c r="AA19" s="28" t="n"/>
      <c r="AB19" s="28" t="n"/>
      <c r="AC19" s="28" t="n"/>
      <c r="AD19" s="28" t="n"/>
      <c r="AE19" s="28" t="n"/>
      <c r="AF19" s="28" t="n"/>
      <c r="AG19" s="28" t="n"/>
      <c r="AH19" s="28" t="n"/>
      <c r="AI19" s="28" t="n"/>
      <c r="AJ19" s="28" t="n"/>
      <c r="AK19" s="28" t="n"/>
      <c r="AL19" s="28" t="n"/>
      <c r="AM19" s="28" t="n"/>
      <c r="AN19" s="28" t="n"/>
      <c r="AO19" s="28" t="n"/>
      <c r="AP19" s="28" t="n"/>
      <c r="AQ19" s="28" t="n"/>
      <c r="AR19" s="28" t="n"/>
      <c r="AS19" s="28" t="n"/>
      <c r="AT19" s="28" t="n"/>
      <c r="AU19" s="28" t="n"/>
      <c r="AV19" s="28" t="n"/>
      <c r="AW19" s="28" t="n"/>
      <c r="AX19" s="28" t="n"/>
      <c r="AY19" s="28" t="n"/>
      <c r="AZ19" s="28" t="n"/>
      <c r="BA19" s="28" t="n"/>
      <c r="BB19" s="28" t="n"/>
      <c r="BC19" s="28" t="n"/>
      <c r="BD19" s="28" t="n"/>
      <c r="BE19" s="28" t="n"/>
      <c r="BF19" s="28" t="n"/>
      <c r="BG19" s="28" t="n"/>
      <c r="BH19" s="28" t="n"/>
      <c r="BI19" s="28" t="n"/>
      <c r="BJ19" s="28" t="n"/>
      <c r="BK19" s="28" t="n"/>
      <c r="BL19" s="28" t="n"/>
      <c r="BM19" s="28" t="n"/>
      <c r="BN19" s="28" t="n"/>
      <c r="BO19" s="28" t="n"/>
      <c r="BP19" s="28" t="n"/>
      <c r="BQ19" s="28" t="n"/>
    </row>
    <row r="20" ht="17.5" customFormat="1" customHeight="1" s="3">
      <c r="A20" s="35" t="inlineStr">
        <is>
          <t>1.7.03.081</t>
        </is>
      </c>
      <c r="B20" s="35" t="n"/>
      <c r="C20" s="35" t="inlineStr">
        <is>
          <t>CR269035</t>
        </is>
      </c>
      <c r="D20" s="35" t="inlineStr">
        <is>
          <t>WO-ZZ00020690</t>
        </is>
      </c>
      <c r="E20" s="21" t="inlineStr">
        <is>
          <t>蓝雀成人内裤式纸尿裤HYG802L码（10片*8包）（CU000198）</t>
        </is>
      </c>
      <c r="F20" t="inlineStr">
        <is>
          <t>L</t>
        </is>
      </c>
      <c r="G20" s="19" t="n">
        <v>10</v>
      </c>
      <c r="H20" s="19" t="n">
        <v>8</v>
      </c>
      <c r="I20" s="116" t="n">
        <v>46136</v>
      </c>
      <c r="J20" s="117" t="n">
        <v>46168</v>
      </c>
      <c r="K20" s="19" t="n">
        <v>400</v>
      </c>
      <c r="L20" s="19">
        <f>F19*G19*J19</f>
        <v/>
      </c>
      <c r="M20" s="19" t="n">
        <v>0</v>
      </c>
      <c r="N20" s="28" t="n"/>
      <c r="O20" s="28" t="n"/>
      <c r="P20" s="28" t="n"/>
      <c r="Q20" s="28" t="n"/>
      <c r="R20" s="28" t="n"/>
      <c r="S20" s="28" t="n"/>
      <c r="T20" s="28" t="n"/>
      <c r="U20" s="28" t="n"/>
      <c r="V20" s="28" t="n">
        <v>386</v>
      </c>
      <c r="W20" s="28" t="n">
        <v>14</v>
      </c>
      <c r="X20" s="28" t="n"/>
      <c r="Y20" s="28" t="n"/>
      <c r="Z20" s="28" t="n"/>
      <c r="AA20" s="28" t="n"/>
      <c r="AB20" s="28" t="n"/>
      <c r="AC20" s="28" t="n"/>
      <c r="AD20" s="28" t="n"/>
      <c r="AE20" s="28" t="n"/>
      <c r="AF20" s="28" t="n"/>
      <c r="AG20" s="28" t="n"/>
      <c r="AH20" s="28" t="n"/>
      <c r="AI20" s="28" t="n"/>
      <c r="AJ20" s="28" t="n"/>
      <c r="AK20" s="28" t="n"/>
      <c r="AL20" s="28" t="n"/>
      <c r="AM20" s="28" t="n"/>
      <c r="AN20" s="28" t="n"/>
      <c r="AO20" s="28" t="n"/>
      <c r="AP20" s="28" t="n"/>
      <c r="AQ20" s="28" t="n"/>
      <c r="AR20" s="28" t="n"/>
      <c r="AS20" s="28" t="n"/>
      <c r="AT20" s="28" t="n"/>
      <c r="AU20" s="28" t="n"/>
      <c r="AV20" s="28" t="n"/>
      <c r="AW20" s="28" t="n"/>
      <c r="AX20" s="28" t="n"/>
      <c r="AY20" s="28" t="n"/>
      <c r="AZ20" s="28" t="n"/>
      <c r="BA20" s="28" t="n"/>
      <c r="BB20" s="28" t="n"/>
      <c r="BC20" s="28" t="n"/>
      <c r="BD20" s="28" t="n"/>
      <c r="BE20" s="28" t="n"/>
      <c r="BF20" s="28" t="n"/>
      <c r="BG20" s="28" t="n"/>
      <c r="BH20" s="28" t="n"/>
      <c r="BI20" s="28" t="n"/>
      <c r="BJ20" s="28" t="n"/>
      <c r="BK20" s="28" t="n"/>
      <c r="BL20" s="28" t="n"/>
      <c r="BM20" s="28" t="n"/>
      <c r="BN20" s="28" t="n"/>
      <c r="BO20" s="28" t="n"/>
      <c r="BP20" s="28" t="n"/>
      <c r="BQ20" s="28" t="n"/>
    </row>
    <row r="21" ht="14" customFormat="1" customHeight="1" s="51">
      <c r="A21" s="35" t="inlineStr">
        <is>
          <t>1.7.03.028</t>
        </is>
      </c>
      <c r="B21" s="35" t="n">
        <v>980</v>
      </c>
      <c r="C21" s="35" t="inlineStr">
        <is>
          <t>CR269028</t>
        </is>
      </c>
      <c r="D21" s="35" t="inlineStr">
        <is>
          <t>WO-ZZ00020501</t>
        </is>
      </c>
      <c r="E21" s="21" t="inlineStr">
        <is>
          <t>FORLIFE台湾版成人拉拉裤L-XL(10片*12包) (CU000199)</t>
        </is>
      </c>
      <c r="F21" t="inlineStr">
        <is>
          <t>XL</t>
        </is>
      </c>
      <c r="G21" s="19" t="n">
        <v>10</v>
      </c>
      <c r="H21" s="19" t="n">
        <v>12</v>
      </c>
      <c r="I21" s="116" t="n">
        <v>46112</v>
      </c>
      <c r="J21" s="117" t="n">
        <v>46174</v>
      </c>
      <c r="K21" s="19" t="n">
        <v>200</v>
      </c>
      <c r="L21" s="19">
        <f>F20*G20*J20</f>
        <v/>
      </c>
      <c r="M21" s="26" t="n">
        <v>0</v>
      </c>
      <c r="N21" s="56" t="n"/>
      <c r="O21" s="56" t="n"/>
      <c r="P21" s="56" t="n"/>
      <c r="Q21" s="56" t="n"/>
      <c r="R21" s="56" t="n"/>
      <c r="S21" s="56" t="n"/>
      <c r="T21" s="56" t="n"/>
      <c r="U21" s="56" t="n"/>
      <c r="V21" s="56" t="n"/>
      <c r="W21" s="56" t="n">
        <v>200</v>
      </c>
      <c r="X21" s="56" t="n"/>
      <c r="Y21" s="56" t="n"/>
      <c r="Z21" s="56" t="n"/>
      <c r="AA21" s="56" t="n"/>
      <c r="AB21" s="56" t="n"/>
      <c r="AC21" s="56" t="n"/>
      <c r="AD21" s="56" t="n"/>
      <c r="AE21" s="56" t="n"/>
      <c r="AF21" s="56" t="n"/>
      <c r="AG21" s="56" t="n"/>
      <c r="AH21" s="56" t="n"/>
      <c r="AI21" s="56" t="n"/>
      <c r="AJ21" s="56" t="n"/>
      <c r="AK21" s="56" t="n"/>
      <c r="AL21" s="56" t="n"/>
      <c r="AM21" s="56" t="n"/>
      <c r="AN21" s="56" t="n"/>
      <c r="AO21" s="56" t="n"/>
      <c r="AP21" s="56" t="n"/>
      <c r="AQ21" s="56" t="n"/>
      <c r="AR21" s="56" t="n"/>
      <c r="AS21" s="56" t="n"/>
      <c r="AT21" s="56" t="n"/>
      <c r="AU21" s="56" t="n"/>
      <c r="AV21" s="56" t="n"/>
      <c r="AW21" s="56" t="n"/>
      <c r="AX21" s="56" t="n"/>
      <c r="AY21" s="56" t="n"/>
      <c r="AZ21" s="56" t="n"/>
      <c r="BA21" s="56" t="n"/>
      <c r="BB21" s="56" t="n"/>
      <c r="BC21" s="56" t="n"/>
      <c r="BD21" s="56" t="n"/>
      <c r="BE21" s="56" t="n"/>
      <c r="BF21" s="56" t="n"/>
      <c r="BG21" s="56" t="n"/>
      <c r="BH21" s="56" t="n"/>
      <c r="BI21" s="56" t="n"/>
      <c r="BJ21" s="56" t="n"/>
      <c r="BK21" s="56" t="n"/>
      <c r="BL21" s="56" t="n"/>
      <c r="BM21" s="56" t="n"/>
      <c r="BN21" s="56" t="n"/>
      <c r="BO21" s="56" t="n"/>
      <c r="BP21" s="56" t="n"/>
      <c r="BQ21" s="56" t="n"/>
    </row>
    <row r="22" ht="17.5" customHeight="1" s="91">
      <c r="A22" s="19" t="inlineStr">
        <is>
          <t>1.7.03.033</t>
        </is>
      </c>
      <c r="B22" s="19" t="n">
        <v>980</v>
      </c>
      <c r="C22" s="19" t="inlineStr">
        <is>
          <t>CR268015</t>
        </is>
      </c>
      <c r="D22" s="19" t="inlineStr">
        <is>
          <t>WO-ZZ00020307</t>
        </is>
      </c>
      <c r="E22" s="21" t="inlineStr">
        <is>
          <t>ACTIVE成人拉拉裤L码(10片*8包) (CU000916)</t>
        </is>
      </c>
      <c r="F22" t="inlineStr">
        <is>
          <t>L</t>
        </is>
      </c>
      <c r="G22" s="19" t="n">
        <v>10</v>
      </c>
      <c r="H22" s="19" t="n">
        <v>8</v>
      </c>
      <c r="I22" s="116" t="n">
        <v>46094</v>
      </c>
      <c r="J22" s="116" t="n">
        <v>46178</v>
      </c>
      <c r="K22" s="19" t="n">
        <v>220</v>
      </c>
      <c r="L22" s="25">
        <f>F21*G21*J21</f>
        <v/>
      </c>
      <c r="M22" s="26" t="n">
        <v>0</v>
      </c>
      <c r="N22" s="57" t="n"/>
      <c r="O22" s="57" t="n"/>
      <c r="P22" s="57" t="n"/>
      <c r="Q22" s="57" t="n"/>
      <c r="R22" s="57" t="n"/>
      <c r="S22" s="57" t="n"/>
      <c r="T22" s="57" t="n"/>
      <c r="U22" s="57" t="n"/>
      <c r="V22" s="57" t="n"/>
      <c r="W22" s="57" t="n">
        <v>220</v>
      </c>
      <c r="X22" s="57" t="n"/>
      <c r="Y22" s="57" t="n"/>
      <c r="Z22" s="57" t="n"/>
      <c r="AA22" s="57" t="n"/>
      <c r="AB22" s="57" t="n"/>
      <c r="AC22" s="57" t="n"/>
      <c r="AD22" s="57" t="n"/>
      <c r="AE22" s="57" t="n"/>
      <c r="AF22" s="57" t="n"/>
      <c r="AG22" s="57" t="n"/>
      <c r="AH22" s="57" t="n"/>
      <c r="AI22" s="57" t="n"/>
      <c r="AJ22" s="57" t="n"/>
      <c r="AK22" s="57" t="n"/>
      <c r="AL22" s="57" t="n"/>
      <c r="AM22" s="57" t="n"/>
      <c r="AN22" s="57" t="n"/>
      <c r="AO22" s="57" t="n"/>
      <c r="AP22" s="57" t="n"/>
      <c r="AQ22" s="57" t="n"/>
      <c r="AR22" s="57" t="n"/>
      <c r="AS22" s="57" t="n"/>
      <c r="AT22" s="57" t="n"/>
      <c r="AU22" s="57" t="n"/>
      <c r="AV22" s="57" t="n"/>
      <c r="AW22" s="57" t="n"/>
      <c r="AX22" s="57" t="n"/>
      <c r="AY22" s="57" t="n"/>
      <c r="AZ22" s="57" t="n"/>
      <c r="BA22" s="57" t="n"/>
      <c r="BB22" s="57" t="n"/>
      <c r="BC22" s="57" t="n"/>
      <c r="BD22" s="57" t="n"/>
      <c r="BE22" s="57" t="n"/>
      <c r="BF22" s="57" t="n"/>
      <c r="BG22" s="57" t="n"/>
      <c r="BH22" s="57" t="n"/>
      <c r="BI22" s="57" t="n"/>
      <c r="BJ22" s="57" t="n"/>
      <c r="BK22" s="57" t="n"/>
      <c r="BL22" s="57" t="n"/>
      <c r="BM22" s="57" t="n"/>
      <c r="BN22" s="57" t="n"/>
      <c r="BO22" s="57" t="n"/>
      <c r="BP22" s="57" t="n"/>
      <c r="BQ22" s="57" t="n"/>
    </row>
    <row r="23" ht="18" customFormat="1" customHeight="1" s="51">
      <c r="A23" s="37" t="inlineStr">
        <is>
          <t>1.7.03.005</t>
        </is>
      </c>
      <c r="B23" s="37" t="n">
        <v>920</v>
      </c>
      <c r="C23" s="37" t="inlineStr">
        <is>
          <t>DS-20260506-001</t>
        </is>
      </c>
      <c r="D23" s="37" t="n"/>
      <c r="E23" s="38" t="inlineStr">
        <is>
          <t>ZAKO珍琦基本型成人拉拉裤L码</t>
        </is>
      </c>
      <c r="F23" t="inlineStr">
        <is>
          <t>L</t>
        </is>
      </c>
      <c r="G23" s="37" t="n">
        <v>10</v>
      </c>
      <c r="H23" s="37" t="n">
        <v>4</v>
      </c>
      <c r="I23" s="121" t="n">
        <v>46148</v>
      </c>
      <c r="J23" s="121" t="n">
        <v>46178</v>
      </c>
      <c r="K23" s="37" t="n">
        <v>1100</v>
      </c>
      <c r="L23" s="37">
        <f>F22*G22*J22</f>
        <v/>
      </c>
      <c r="M23" s="37" t="n">
        <v>0</v>
      </c>
      <c r="N23" s="28" t="n"/>
      <c r="O23" s="28" t="n"/>
      <c r="P23" s="28" t="n"/>
      <c r="Q23" s="28" t="n"/>
      <c r="R23" s="28" t="n"/>
      <c r="S23" s="28" t="n"/>
      <c r="T23" s="28" t="n"/>
      <c r="U23" s="28" t="n"/>
      <c r="V23" s="28" t="n"/>
      <c r="W23" s="28" t="n">
        <v>732</v>
      </c>
      <c r="X23" s="28" t="n">
        <v>368</v>
      </c>
      <c r="Y23" s="28" t="n"/>
      <c r="Z23" s="28" t="n"/>
      <c r="AA23" s="28" t="n"/>
      <c r="AB23" s="28" t="n"/>
      <c r="AC23" s="28" t="n"/>
      <c r="AD23" s="28" t="n"/>
      <c r="AE23" s="28" t="n"/>
      <c r="AF23" s="28" t="n"/>
      <c r="AG23" s="28" t="n"/>
      <c r="AH23" s="28" t="n"/>
      <c r="AI23" s="28" t="n"/>
      <c r="AJ23" s="28" t="n"/>
      <c r="AK23" s="28" t="n"/>
      <c r="AL23" s="28" t="n"/>
      <c r="AM23" s="28" t="n"/>
      <c r="AN23" s="28" t="n"/>
      <c r="AO23" s="28" t="n"/>
      <c r="AP23" s="28" t="n"/>
      <c r="AQ23" s="28" t="n"/>
      <c r="AR23" s="28" t="n"/>
      <c r="AS23" s="28" t="n"/>
      <c r="AT23" s="28" t="n"/>
      <c r="AU23" s="28" t="n"/>
      <c r="AV23" s="28" t="n"/>
      <c r="AW23" s="28" t="n"/>
      <c r="AX23" s="28" t="n"/>
      <c r="AY23" s="28" t="n"/>
      <c r="AZ23" s="28" t="n"/>
      <c r="BA23" s="28" t="n"/>
      <c r="BB23" s="28" t="n"/>
      <c r="BC23" s="28" t="n"/>
      <c r="BD23" s="28" t="n"/>
      <c r="BE23" s="28" t="n"/>
      <c r="BF23" s="28" t="n"/>
      <c r="BG23" s="28" t="n"/>
      <c r="BH23" s="28" t="n"/>
      <c r="BI23" s="28" t="n"/>
      <c r="BJ23" s="28" t="n"/>
      <c r="BK23" s="28" t="n"/>
      <c r="BL23" s="28" t="n"/>
      <c r="BM23" s="28" t="n"/>
      <c r="BN23" s="28" t="n"/>
      <c r="BO23" s="28" t="n"/>
      <c r="BP23" s="28" t="n"/>
      <c r="BQ23" s="28" t="n"/>
    </row>
    <row r="24" customFormat="1" s="51">
      <c r="A24" s="19" t="inlineStr">
        <is>
          <t>1.7.02.031</t>
        </is>
      </c>
      <c r="B24" s="19" t="n">
        <v>880</v>
      </c>
      <c r="C24" s="19" t="inlineStr">
        <is>
          <t>CR268015</t>
        </is>
      </c>
      <c r="D24" s="19" t="inlineStr">
        <is>
          <t>WO-ZZ00020374</t>
        </is>
      </c>
      <c r="E24" s="21" t="inlineStr">
        <is>
          <t>ACTIVE成人拉拉裤M码(10片*8包) (CU000916)</t>
        </is>
      </c>
      <c r="F24" t="inlineStr">
        <is>
          <t>M</t>
        </is>
      </c>
      <c r="G24" s="19" t="n">
        <v>10</v>
      </c>
      <c r="H24" s="19" t="n">
        <v>8</v>
      </c>
      <c r="I24" s="116" t="n">
        <v>46094</v>
      </c>
      <c r="J24" s="116" t="n">
        <v>46178</v>
      </c>
      <c r="K24" s="19" t="n">
        <v>1020</v>
      </c>
      <c r="L24" s="25">
        <f>F23*G23*J23</f>
        <v/>
      </c>
      <c r="M24" s="26" t="n">
        <v>0</v>
      </c>
      <c r="N24" s="57" t="n"/>
      <c r="O24" s="57" t="n"/>
      <c r="P24" s="57" t="n"/>
      <c r="Q24" s="57" t="n"/>
      <c r="R24" s="57" t="n"/>
      <c r="S24" s="57" t="n"/>
      <c r="T24" s="57" t="n"/>
      <c r="U24" s="57" t="n"/>
      <c r="V24" s="57" t="n"/>
      <c r="W24" s="57" t="n"/>
      <c r="X24" s="57" t="n">
        <v>716</v>
      </c>
      <c r="Y24" s="57" t="n"/>
      <c r="Z24" s="57" t="n">
        <v>304</v>
      </c>
      <c r="AA24" s="57" t="n"/>
      <c r="AB24" s="57" t="n"/>
      <c r="AC24" s="57" t="n"/>
      <c r="AD24" s="57" t="n"/>
      <c r="AE24" s="57" t="n"/>
      <c r="AF24" s="57" t="n"/>
      <c r="AG24" s="57" t="n"/>
      <c r="AH24" s="57" t="n"/>
      <c r="AI24" s="57" t="n"/>
      <c r="AJ24" s="57" t="n"/>
      <c r="AK24" s="57" t="n"/>
      <c r="AL24" s="57" t="n"/>
      <c r="AM24" s="57" t="n"/>
      <c r="AN24" s="57" t="n"/>
      <c r="AO24" s="57" t="n"/>
      <c r="AP24" s="57" t="n"/>
      <c r="AQ24" s="57" t="n"/>
      <c r="AR24" s="57" t="n"/>
      <c r="AS24" s="57" t="n"/>
      <c r="AT24" s="57" t="n"/>
      <c r="AU24" s="57" t="n"/>
      <c r="AV24" s="57" t="n"/>
      <c r="AW24" s="57" t="n"/>
      <c r="AX24" s="57" t="n"/>
      <c r="AY24" s="57" t="n"/>
      <c r="AZ24" s="57" t="n"/>
      <c r="BA24" s="57" t="n"/>
      <c r="BB24" s="57" t="n"/>
      <c r="BC24" s="57" t="n"/>
      <c r="BD24" s="57" t="n"/>
      <c r="BE24" s="57" t="n"/>
      <c r="BF24" s="57" t="n"/>
      <c r="BG24" s="57" t="n"/>
      <c r="BH24" s="57" t="n"/>
      <c r="BI24" s="57" t="n"/>
      <c r="BJ24" s="57" t="n"/>
      <c r="BK24" s="57" t="n"/>
      <c r="BL24" s="57" t="n"/>
      <c r="BM24" s="57" t="n"/>
      <c r="BN24" s="57" t="n"/>
      <c r="BO24" s="57" t="n"/>
      <c r="BP24" s="57" t="n"/>
      <c r="BQ24" s="57" t="n"/>
    </row>
    <row r="25" ht="17.5" customFormat="1" customHeight="1" s="52">
      <c r="A25" s="19" t="n"/>
      <c r="B25" s="19" t="n"/>
      <c r="C25" s="19" t="n"/>
      <c r="D25" s="19" t="n"/>
      <c r="E25" s="21" t="n"/>
      <c r="G25" s="19" t="n"/>
      <c r="H25" s="19" t="n"/>
      <c r="I25" s="116" t="n"/>
      <c r="J25" s="116" t="n"/>
      <c r="K25" s="19" t="n"/>
      <c r="L25" s="25" t="n"/>
      <c r="M25" s="26" t="n"/>
      <c r="N25" s="57" t="n"/>
      <c r="O25" s="57" t="n"/>
      <c r="P25" s="57" t="n"/>
      <c r="Q25" s="57" t="n"/>
      <c r="R25" s="57" t="n"/>
      <c r="S25" s="57" t="n"/>
      <c r="T25" s="57" t="n"/>
      <c r="U25" s="57" t="n"/>
      <c r="V25" s="57" t="n"/>
      <c r="W25" s="57" t="n"/>
      <c r="X25" s="57" t="n"/>
      <c r="Y25" s="57" t="n"/>
      <c r="Z25" s="57" t="n"/>
      <c r="AA25" s="57" t="n"/>
      <c r="AB25" s="57" t="n"/>
      <c r="AC25" s="57" t="n"/>
      <c r="AD25" s="57" t="n"/>
      <c r="AE25" s="57" t="n"/>
      <c r="AF25" s="57" t="n"/>
      <c r="AG25" s="57" t="n"/>
      <c r="AH25" s="57" t="n"/>
      <c r="AI25" s="57" t="n"/>
      <c r="AJ25" s="57" t="n"/>
      <c r="AK25" s="57" t="n"/>
      <c r="AL25" s="57" t="n"/>
      <c r="AM25" s="57" t="n"/>
      <c r="AN25" s="57" t="n"/>
      <c r="AO25" s="57" t="n"/>
      <c r="AP25" s="57" t="n"/>
      <c r="AQ25" s="57" t="n"/>
      <c r="AR25" s="57" t="n"/>
      <c r="AS25" s="57" t="n"/>
      <c r="AT25" s="57" t="n"/>
      <c r="AU25" s="57" t="n"/>
      <c r="AV25" s="57" t="n"/>
      <c r="AW25" s="57" t="n"/>
      <c r="AX25" s="57" t="n"/>
      <c r="AY25" s="57" t="n"/>
      <c r="AZ25" s="57" t="n"/>
      <c r="BA25" s="57" t="n"/>
      <c r="BB25" s="57" t="n"/>
      <c r="BC25" s="57" t="n"/>
      <c r="BD25" s="57" t="n"/>
      <c r="BE25" s="57" t="n"/>
      <c r="BF25" s="57" t="n"/>
      <c r="BG25" s="57" t="n"/>
      <c r="BH25" s="57" t="n"/>
      <c r="BI25" s="57" t="n"/>
      <c r="BJ25" s="57" t="n"/>
      <c r="BK25" s="57" t="n"/>
      <c r="BL25" s="57" t="n"/>
      <c r="BM25" s="57" t="n"/>
      <c r="BN25" s="57" t="n"/>
      <c r="BO25" s="57" t="n"/>
      <c r="BP25" s="57" t="n"/>
      <c r="BQ25" s="57" t="n"/>
    </row>
    <row r="26" ht="17.5" customHeight="1" s="91">
      <c r="A26" s="58" t="inlineStr">
        <is>
          <t>1.7.02.001</t>
        </is>
      </c>
      <c r="B26" s="58" t="n">
        <v>830</v>
      </c>
      <c r="C26" s="58" t="inlineStr">
        <is>
          <t>CR269008</t>
        </is>
      </c>
      <c r="D26" s="58" t="inlineStr">
        <is>
          <t>WO-ZZ00020494</t>
        </is>
      </c>
      <c r="E26" s="59" t="inlineStr">
        <is>
          <t>SENIOR成人拉拉裤M码(10片*12包) (CU000188)</t>
        </is>
      </c>
      <c r="F26" t="inlineStr">
        <is>
          <t>M</t>
        </is>
      </c>
      <c r="G26" s="60" t="n">
        <v>10</v>
      </c>
      <c r="H26" s="60" t="n">
        <v>12</v>
      </c>
      <c r="I26" s="123" t="n">
        <v>46066</v>
      </c>
      <c r="J26" s="123" t="n">
        <v>46097</v>
      </c>
      <c r="K26" s="60" t="n">
        <v>270</v>
      </c>
      <c r="L26" s="25">
        <f>F25*G25*J25</f>
        <v/>
      </c>
      <c r="M26" s="61" t="n"/>
      <c r="N26" s="60" t="n"/>
      <c r="O26" s="60" t="n"/>
      <c r="P26" s="60" t="n"/>
      <c r="Q26" s="60" t="n"/>
      <c r="R26" s="60" t="n"/>
      <c r="S26" s="60" t="n"/>
      <c r="T26" s="60" t="n"/>
      <c r="U26" s="60" t="n"/>
      <c r="V26" s="60" t="n"/>
      <c r="W26" s="60" t="n"/>
      <c r="X26" s="60" t="n"/>
      <c r="Y26" s="60" t="n"/>
      <c r="Z26" s="60" t="n"/>
      <c r="AA26" s="60" t="n"/>
      <c r="AB26" s="60" t="n"/>
      <c r="AC26" s="60" t="n"/>
      <c r="AD26" s="60" t="n"/>
      <c r="AE26" s="60" t="n"/>
      <c r="AF26" s="60" t="n"/>
      <c r="AG26" s="60" t="n"/>
      <c r="AH26" s="60" t="n"/>
      <c r="AI26" s="60" t="n"/>
      <c r="AJ26" s="60" t="n"/>
      <c r="AK26" s="60" t="n"/>
      <c r="AL26" s="60" t="n"/>
      <c r="AM26" s="60" t="n"/>
      <c r="AN26" s="60" t="n"/>
      <c r="AO26" s="60" t="n"/>
      <c r="AP26" s="60" t="n"/>
      <c r="AQ26" s="60" t="n"/>
      <c r="AR26" s="60" t="n"/>
      <c r="AS26" s="60" t="n"/>
      <c r="AT26" s="60" t="n"/>
      <c r="AU26" s="60" t="n"/>
      <c r="AV26" s="60" t="n"/>
      <c r="AW26" s="60" t="n"/>
      <c r="AX26" s="60" t="n"/>
      <c r="AY26" s="60" t="n"/>
      <c r="AZ26" s="60" t="n"/>
      <c r="BA26" s="60" t="n"/>
      <c r="BB26" s="60" t="n"/>
      <c r="BC26" s="60" t="n"/>
      <c r="BD26" s="60" t="n"/>
      <c r="BE26" s="60" t="n"/>
      <c r="BF26" s="60" t="n"/>
      <c r="BG26" s="60" t="n"/>
      <c r="BH26" s="60" t="n"/>
      <c r="BI26" s="60" t="n"/>
      <c r="BJ26" s="60" t="n"/>
      <c r="BK26" s="60" t="n"/>
      <c r="BL26" s="60" t="n"/>
      <c r="BM26" s="60" t="n"/>
      <c r="BN26" s="60" t="n"/>
      <c r="BO26" s="60" t="n"/>
      <c r="BP26" s="60" t="n"/>
      <c r="BQ26" s="60" t="n"/>
    </row>
    <row r="27" ht="17.5" customHeight="1" s="91">
      <c r="A27" s="62" t="inlineStr">
        <is>
          <t>1.7.04.001</t>
        </is>
      </c>
      <c r="B27" s="19" t="n">
        <v>920</v>
      </c>
      <c r="C27" s="62" t="inlineStr">
        <is>
          <t>CR269011</t>
        </is>
      </c>
      <c r="D27" s="25" t="inlineStr">
        <is>
          <t>WO-ZZ00020426</t>
        </is>
      </c>
      <c r="E27" s="63" t="inlineStr">
        <is>
          <t>SENIOR成人拉拉裤XL码(10片*12包) (CU000188)</t>
        </is>
      </c>
      <c r="F27" t="inlineStr">
        <is>
          <t>XL</t>
        </is>
      </c>
      <c r="G27" s="32" t="n">
        <v>10</v>
      </c>
      <c r="H27" s="32" t="n">
        <v>12</v>
      </c>
      <c r="I27" s="119" t="n">
        <v>46083</v>
      </c>
      <c r="J27" s="119" t="n">
        <v>46127</v>
      </c>
      <c r="K27" s="62" t="n">
        <v>390</v>
      </c>
      <c r="L27" s="19">
        <f>F26*G26*J26</f>
        <v/>
      </c>
      <c r="M27" s="64" t="n"/>
      <c r="N27" s="25" t="n"/>
      <c r="O27" s="25" t="n"/>
      <c r="P27" s="25" t="n"/>
      <c r="Q27" s="25" t="n"/>
      <c r="R27" s="25" t="n"/>
      <c r="S27" s="25" t="n"/>
      <c r="T27" s="25" t="n"/>
      <c r="U27" s="25" t="n"/>
      <c r="V27" s="25" t="n"/>
      <c r="W27" s="25" t="n"/>
      <c r="X27" s="25" t="n"/>
      <c r="Y27" s="25" t="n"/>
      <c r="Z27" s="25" t="n"/>
      <c r="AA27" s="25" t="n"/>
      <c r="AB27" s="25" t="n"/>
      <c r="AC27" s="25" t="n"/>
      <c r="AD27" s="25" t="n"/>
      <c r="AE27" s="25" t="n"/>
      <c r="AF27" s="25" t="n"/>
      <c r="AG27" s="25" t="n"/>
      <c r="AH27" s="25" t="n"/>
      <c r="AI27" s="25" t="n"/>
      <c r="AJ27" s="25" t="n"/>
      <c r="AK27" s="25" t="n"/>
      <c r="AL27" s="25" t="n"/>
      <c r="AM27" s="25" t="n"/>
      <c r="AN27" s="25" t="n"/>
      <c r="AO27" s="25" t="n"/>
      <c r="AP27" s="25" t="n"/>
      <c r="AQ27" s="25" t="n"/>
      <c r="AR27" s="25" t="n"/>
      <c r="AS27" s="25" t="n"/>
      <c r="AT27" s="25" t="n"/>
      <c r="AU27" s="25" t="n"/>
      <c r="AV27" s="25" t="n"/>
      <c r="AW27" s="25" t="n"/>
      <c r="AX27" s="25" t="n"/>
      <c r="AY27" s="25" t="n"/>
      <c r="AZ27" s="25" t="n"/>
      <c r="BA27" s="25" t="n"/>
      <c r="BB27" s="25" t="n"/>
      <c r="BC27" s="25" t="n"/>
      <c r="BD27" s="25" t="n"/>
      <c r="BE27" s="25" t="n"/>
      <c r="BF27" s="25" t="n"/>
      <c r="BG27" s="25" t="n"/>
      <c r="BH27" s="25" t="n"/>
      <c r="BI27" s="25" t="n"/>
      <c r="BJ27" s="25" t="n"/>
      <c r="BK27" s="25" t="n"/>
      <c r="BL27" s="25" t="n"/>
      <c r="BM27" s="25" t="n"/>
      <c r="BN27" s="25" t="n"/>
      <c r="BO27" s="25" t="n"/>
      <c r="BP27" s="25" t="n"/>
      <c r="BQ27" s="25" t="n"/>
    </row>
    <row r="28" ht="17.5" customHeight="1" s="91">
      <c r="A28" s="62" t="inlineStr">
        <is>
          <t>1.7.05.003</t>
        </is>
      </c>
      <c r="B28" s="19" t="n">
        <v>980</v>
      </c>
      <c r="C28" s="62" t="inlineStr">
        <is>
          <t>CR269010</t>
        </is>
      </c>
      <c r="D28" s="19" t="inlineStr">
        <is>
          <t>WO-ZZ00020608</t>
        </is>
      </c>
      <c r="E28" s="63" t="inlineStr">
        <is>
          <t>SENIOR成人拉拉裤XXL码(10片*12包) (CU000188)</t>
        </is>
      </c>
      <c r="F28" t="inlineStr">
        <is>
          <t>XXL</t>
        </is>
      </c>
      <c r="G28" s="32" t="n">
        <v>10</v>
      </c>
      <c r="H28" s="32" t="n">
        <v>12</v>
      </c>
      <c r="I28" s="119" t="n">
        <v>46078</v>
      </c>
      <c r="J28" s="119" t="n">
        <v>46113</v>
      </c>
      <c r="K28" s="62" t="n">
        <v>720</v>
      </c>
      <c r="L28" s="19">
        <f>F27*G27*J27</f>
        <v/>
      </c>
      <c r="M28" s="64" t="n"/>
      <c r="N28" s="25" t="n"/>
      <c r="O28" s="25" t="n"/>
      <c r="P28" s="25" t="n"/>
      <c r="Q28" s="25" t="n"/>
      <c r="R28" s="25" t="n"/>
      <c r="S28" s="25" t="n"/>
      <c r="T28" s="25" t="n"/>
      <c r="U28" s="25" t="n"/>
      <c r="V28" s="25" t="n"/>
      <c r="W28" s="25" t="n"/>
      <c r="X28" s="25" t="n"/>
      <c r="Y28" s="25" t="n"/>
      <c r="Z28" s="25" t="n"/>
      <c r="AA28" s="25" t="n"/>
      <c r="AB28" s="25" t="n"/>
      <c r="AC28" s="25" t="n"/>
      <c r="AD28" s="25" t="n"/>
      <c r="AE28" s="25" t="n"/>
      <c r="AF28" s="25" t="n"/>
      <c r="AG28" s="25" t="n"/>
      <c r="AH28" s="25" t="n"/>
      <c r="AI28" s="25" t="n"/>
      <c r="AJ28" s="25" t="n"/>
      <c r="AK28" s="25" t="n"/>
      <c r="AL28" s="25" t="n"/>
      <c r="AM28" s="25" t="n"/>
      <c r="AN28" s="25" t="n"/>
      <c r="AO28" s="25" t="n"/>
      <c r="AP28" s="25" t="n"/>
      <c r="AQ28" s="25" t="n"/>
      <c r="AR28" s="25" t="n"/>
      <c r="AS28" s="25" t="n"/>
      <c r="AT28" s="25" t="n"/>
      <c r="AU28" s="25" t="n"/>
      <c r="AV28" s="25" t="n"/>
      <c r="AW28" s="25" t="n"/>
      <c r="AX28" s="25" t="n"/>
      <c r="AY28" s="25" t="n"/>
      <c r="AZ28" s="25" t="n"/>
      <c r="BA28" s="25" t="n"/>
      <c r="BB28" s="25" t="n"/>
      <c r="BC28" s="25" t="n"/>
      <c r="BD28" s="25" t="n"/>
      <c r="BE28" s="25" t="n"/>
      <c r="BF28" s="25" t="n"/>
      <c r="BG28" s="25" t="n"/>
      <c r="BH28" s="25" t="n"/>
      <c r="BI28" s="25" t="n"/>
      <c r="BJ28" s="25" t="n"/>
      <c r="BK28" s="25" t="n"/>
      <c r="BL28" s="25" t="n"/>
      <c r="BM28" s="25" t="n"/>
      <c r="BN28" s="25" t="n"/>
      <c r="BO28" s="25" t="n"/>
      <c r="BP28" s="25" t="n"/>
      <c r="BQ28" s="25" t="n"/>
    </row>
    <row r="29" ht="17.5" customHeight="1" s="91">
      <c r="A29" s="62" t="inlineStr">
        <is>
          <t>1.7.04.001</t>
        </is>
      </c>
      <c r="B29" s="19" t="n">
        <v>920</v>
      </c>
      <c r="C29" s="62" t="inlineStr">
        <is>
          <t>CR269012</t>
        </is>
      </c>
      <c r="D29" s="19" t="inlineStr">
        <is>
          <t>WO-ZZ00020176</t>
        </is>
      </c>
      <c r="E29" s="63" t="inlineStr">
        <is>
          <t>SENIOR成人拉拉裤XL码(10片*12包) (CU000188)</t>
        </is>
      </c>
      <c r="F29" t="inlineStr">
        <is>
          <t>XL</t>
        </is>
      </c>
      <c r="G29" s="32" t="n">
        <v>10</v>
      </c>
      <c r="H29" s="32" t="n">
        <v>12</v>
      </c>
      <c r="I29" s="119" t="n">
        <v>46084</v>
      </c>
      <c r="J29" s="119" t="n">
        <v>46147</v>
      </c>
      <c r="K29" s="62" t="n">
        <v>790</v>
      </c>
      <c r="L29" s="19">
        <f>F28*G28*J28</f>
        <v/>
      </c>
      <c r="M29" s="55" t="n"/>
      <c r="N29" s="25" t="n"/>
      <c r="O29" s="25" t="n"/>
      <c r="P29" s="25" t="n"/>
      <c r="Q29" s="25" t="n"/>
      <c r="R29" s="25" t="n"/>
      <c r="S29" s="25" t="n"/>
      <c r="T29" s="25" t="n"/>
      <c r="U29" s="25" t="n"/>
      <c r="V29" s="25" t="n"/>
      <c r="W29" s="25" t="n"/>
      <c r="X29" s="25" t="n"/>
      <c r="Y29" s="25" t="n"/>
      <c r="Z29" s="25" t="n"/>
      <c r="AA29" s="25" t="n"/>
      <c r="AB29" s="25" t="n"/>
      <c r="AC29" s="25" t="n"/>
      <c r="AD29" s="25" t="n"/>
      <c r="AE29" s="25" t="n"/>
      <c r="AF29" s="25" t="n"/>
      <c r="AG29" s="25" t="n"/>
      <c r="AH29" s="25" t="n"/>
      <c r="AI29" s="25" t="n"/>
      <c r="AJ29" s="25" t="n"/>
      <c r="AK29" s="25" t="n"/>
      <c r="AL29" s="25" t="n"/>
      <c r="AM29" s="25" t="n"/>
      <c r="AN29" s="25" t="n"/>
      <c r="AO29" s="25" t="n"/>
      <c r="AP29" s="25" t="n"/>
      <c r="AQ29" s="25" t="n"/>
      <c r="AR29" s="25" t="n"/>
      <c r="AS29" s="25" t="n"/>
      <c r="AT29" s="25" t="n"/>
      <c r="AU29" s="25" t="n"/>
      <c r="AV29" s="25" t="n"/>
      <c r="AW29" s="25" t="n"/>
      <c r="AX29" s="25" t="n"/>
      <c r="AY29" s="25" t="n"/>
      <c r="AZ29" s="25" t="n"/>
      <c r="BA29" s="25" t="n"/>
      <c r="BB29" s="25" t="n"/>
      <c r="BC29" s="25" t="n"/>
      <c r="BD29" s="25" t="n"/>
      <c r="BE29" s="25" t="n"/>
      <c r="BF29" s="25" t="n"/>
      <c r="BG29" s="25" t="n"/>
      <c r="BH29" s="25" t="n"/>
      <c r="BI29" s="25" t="n"/>
      <c r="BJ29" s="25" t="n"/>
      <c r="BK29" s="25" t="n"/>
      <c r="BL29" s="25" t="n"/>
      <c r="BM29" s="25" t="n"/>
      <c r="BN29" s="25" t="n"/>
      <c r="BO29" s="25" t="n"/>
      <c r="BP29" s="25" t="n"/>
      <c r="BQ29" s="25" t="n"/>
    </row>
    <row r="30" ht="17" customHeight="1" s="91">
      <c r="A30" s="62" t="inlineStr">
        <is>
          <t>1.7.05.003</t>
        </is>
      </c>
      <c r="B30" s="19" t="n">
        <v>980</v>
      </c>
      <c r="C30" s="62" t="inlineStr">
        <is>
          <t>CR269012</t>
        </is>
      </c>
      <c r="D30" s="19" t="inlineStr">
        <is>
          <t>WO-ZZ00020177</t>
        </is>
      </c>
      <c r="E30" s="63" t="inlineStr">
        <is>
          <t>SENIOR成人拉拉裤XXL码(10片*12包) (CU000188)</t>
        </is>
      </c>
      <c r="F30" t="inlineStr">
        <is>
          <t>XXL</t>
        </is>
      </c>
      <c r="G30" s="32" t="n">
        <v>10</v>
      </c>
      <c r="H30" s="32" t="n">
        <v>12</v>
      </c>
      <c r="I30" s="119" t="n">
        <v>46084</v>
      </c>
      <c r="J30" s="119" t="n">
        <v>46147</v>
      </c>
      <c r="K30" s="62" t="n">
        <v>720</v>
      </c>
      <c r="L30" s="25">
        <f>F29*G29*J29</f>
        <v/>
      </c>
      <c r="M30" s="55" t="n"/>
      <c r="N30" s="25" t="n"/>
      <c r="O30" s="25" t="n"/>
      <c r="P30" s="25" t="n"/>
      <c r="Q30" s="25" t="n"/>
      <c r="R30" s="25" t="n"/>
      <c r="S30" s="25" t="n"/>
      <c r="T30" s="25" t="n"/>
      <c r="U30" s="25" t="n"/>
      <c r="V30" s="25" t="n"/>
      <c r="W30" s="25" t="n"/>
      <c r="X30" s="25" t="n"/>
      <c r="Y30" s="25" t="n"/>
      <c r="Z30" s="25" t="n"/>
      <c r="AA30" s="25" t="n"/>
      <c r="AB30" s="25" t="n"/>
      <c r="AC30" s="25" t="n"/>
      <c r="AD30" s="25" t="n"/>
      <c r="AE30" s="25" t="n"/>
      <c r="AF30" s="25" t="n"/>
      <c r="AG30" s="25" t="n"/>
      <c r="AH30" s="25" t="n"/>
      <c r="AI30" s="25" t="n"/>
      <c r="AJ30" s="25" t="n"/>
      <c r="AK30" s="25" t="n"/>
      <c r="AL30" s="25" t="n"/>
      <c r="AM30" s="25" t="n"/>
      <c r="AN30" s="25" t="n"/>
      <c r="AO30" s="25" t="n"/>
      <c r="AP30" s="25" t="n"/>
      <c r="AQ30" s="25" t="n"/>
      <c r="AR30" s="25" t="n"/>
      <c r="AS30" s="25" t="n"/>
      <c r="AT30" s="25" t="n"/>
      <c r="AU30" s="25" t="n"/>
      <c r="AV30" s="25" t="n"/>
      <c r="AW30" s="25" t="n"/>
      <c r="AX30" s="25" t="n"/>
      <c r="AY30" s="25" t="n"/>
      <c r="AZ30" s="25" t="n"/>
      <c r="BA30" s="25" t="n"/>
      <c r="BB30" s="25" t="n"/>
      <c r="BC30" s="25" t="n"/>
      <c r="BD30" s="25" t="n"/>
      <c r="BE30" s="25" t="n"/>
      <c r="BF30" s="25" t="n"/>
      <c r="BG30" s="25" t="n"/>
      <c r="BH30" s="25" t="n"/>
      <c r="BI30" s="25" t="n"/>
      <c r="BJ30" s="25" t="n"/>
      <c r="BK30" s="25" t="n"/>
      <c r="BL30" s="25" t="n"/>
      <c r="BM30" s="25" t="n"/>
      <c r="BN30" s="25" t="n"/>
      <c r="BO30" s="25" t="n"/>
      <c r="BP30" s="25" t="n"/>
      <c r="BQ30" s="25" t="n"/>
    </row>
    <row r="31" ht="17.5" customHeight="1" s="91">
      <c r="A31" s="62" t="inlineStr">
        <is>
          <t>1.7.03.001</t>
        </is>
      </c>
      <c r="B31" s="19" t="n">
        <v>880</v>
      </c>
      <c r="C31" s="62" t="inlineStr">
        <is>
          <t>CR269012</t>
        </is>
      </c>
      <c r="D31" s="19" t="inlineStr">
        <is>
          <t>WO-ZZ00020175</t>
        </is>
      </c>
      <c r="E31" s="63" t="inlineStr">
        <is>
          <t>SENIOR成人拉拉裤L码(10片*12包) (CU000188)</t>
        </is>
      </c>
      <c r="F31" t="inlineStr">
        <is>
          <t>L</t>
        </is>
      </c>
      <c r="G31" s="32" t="n">
        <v>10</v>
      </c>
      <c r="H31" s="32" t="n">
        <v>12</v>
      </c>
      <c r="I31" s="119" t="n">
        <v>46084</v>
      </c>
      <c r="J31" s="119" t="n">
        <v>46147</v>
      </c>
      <c r="K31" s="62" t="n">
        <v>810</v>
      </c>
      <c r="L31" s="25">
        <f>F30*G30*J30</f>
        <v/>
      </c>
      <c r="M31" s="55" t="n"/>
      <c r="N31" s="25" t="n"/>
      <c r="O31" s="25" t="n"/>
      <c r="P31" s="25" t="n"/>
      <c r="Q31" s="25" t="n"/>
      <c r="R31" s="25" t="n"/>
      <c r="S31" s="25" t="n"/>
      <c r="T31" s="25" t="n"/>
      <c r="U31" s="25" t="n"/>
      <c r="V31" s="25" t="n"/>
      <c r="W31" s="25" t="n"/>
      <c r="X31" s="25" t="n"/>
      <c r="Y31" s="25" t="n"/>
      <c r="Z31" s="25" t="n"/>
      <c r="AA31" s="25" t="n"/>
      <c r="AB31" s="25" t="n"/>
      <c r="AC31" s="25" t="n"/>
      <c r="AD31" s="25" t="n"/>
      <c r="AE31" s="25" t="n"/>
      <c r="AF31" s="25" t="n"/>
      <c r="AG31" s="25" t="n"/>
      <c r="AH31" s="25" t="n"/>
      <c r="AI31" s="25" t="n"/>
      <c r="AJ31" s="25" t="n"/>
      <c r="AK31" s="25" t="n"/>
      <c r="AL31" s="25" t="n"/>
      <c r="AM31" s="25" t="n"/>
      <c r="AN31" s="25" t="n"/>
      <c r="AO31" s="25" t="n"/>
      <c r="AP31" s="25" t="n"/>
      <c r="AQ31" s="25" t="n"/>
      <c r="AR31" s="25" t="n"/>
      <c r="AS31" s="25" t="n"/>
      <c r="AT31" s="25" t="n"/>
      <c r="AU31" s="25" t="n"/>
      <c r="AV31" s="25" t="n"/>
      <c r="AW31" s="25" t="n"/>
      <c r="AX31" s="25" t="n"/>
      <c r="AY31" s="25" t="n"/>
      <c r="AZ31" s="25" t="n"/>
      <c r="BA31" s="25" t="n"/>
      <c r="BB31" s="25" t="n"/>
      <c r="BC31" s="25" t="n"/>
      <c r="BD31" s="25" t="n"/>
      <c r="BE31" s="25" t="n"/>
      <c r="BF31" s="25" t="n"/>
      <c r="BG31" s="25" t="n"/>
      <c r="BH31" s="25" t="n"/>
      <c r="BI31" s="25" t="n"/>
      <c r="BJ31" s="25" t="n"/>
      <c r="BK31" s="25" t="n"/>
      <c r="BL31" s="25" t="n"/>
      <c r="BM31" s="25" t="n"/>
      <c r="BN31" s="25" t="n"/>
      <c r="BO31" s="25" t="n"/>
      <c r="BP31" s="25" t="n"/>
      <c r="BQ31" s="25" t="n"/>
    </row>
    <row r="32" ht="18" customHeight="1" s="91">
      <c r="A32" s="62" t="inlineStr">
        <is>
          <t>1.7.02.001</t>
        </is>
      </c>
      <c r="B32" s="19" t="n">
        <v>830</v>
      </c>
      <c r="C32" s="62" t="inlineStr">
        <is>
          <t>CR269012</t>
        </is>
      </c>
      <c r="D32" s="19" t="inlineStr">
        <is>
          <t>WO-ZZ00020143</t>
        </is>
      </c>
      <c r="E32" s="63" t="inlineStr">
        <is>
          <t>SENIOR成人拉拉裤M码(10片*12包) (CU000188)</t>
        </is>
      </c>
      <c r="F32" t="inlineStr">
        <is>
          <t>M</t>
        </is>
      </c>
      <c r="G32" s="32" t="n">
        <v>10</v>
      </c>
      <c r="H32" s="32" t="n">
        <v>12</v>
      </c>
      <c r="I32" s="119" t="n">
        <v>46084</v>
      </c>
      <c r="J32" s="119" t="n">
        <v>46147</v>
      </c>
      <c r="K32" s="62" t="n">
        <v>800</v>
      </c>
      <c r="L32" s="25">
        <f>F31*G31*J31</f>
        <v/>
      </c>
      <c r="M32" s="55" t="n"/>
      <c r="N32" s="25" t="n"/>
      <c r="O32" s="25" t="n"/>
      <c r="P32" s="25" t="n"/>
      <c r="Q32" s="25" t="n"/>
      <c r="R32" s="25" t="n"/>
      <c r="S32" s="25" t="n"/>
      <c r="T32" s="25" t="n"/>
      <c r="U32" s="25" t="n"/>
      <c r="V32" s="25" t="n"/>
      <c r="W32" s="25" t="n"/>
      <c r="X32" s="25" t="n"/>
      <c r="Y32" s="25" t="n"/>
      <c r="Z32" s="25" t="n"/>
      <c r="AA32" s="25" t="n"/>
      <c r="AB32" s="25" t="n"/>
      <c r="AC32" s="25" t="n"/>
      <c r="AD32" s="25" t="n"/>
      <c r="AE32" s="25" t="n"/>
      <c r="AF32" s="25" t="n"/>
      <c r="AG32" s="25" t="n"/>
      <c r="AH32" s="25" t="n"/>
      <c r="AI32" s="25" t="n"/>
      <c r="AJ32" s="25" t="n"/>
      <c r="AK32" s="25" t="n"/>
      <c r="AL32" s="25" t="n"/>
      <c r="AM32" s="25" t="n"/>
      <c r="AN32" s="25" t="n"/>
      <c r="AO32" s="25" t="n"/>
      <c r="AP32" s="25" t="n"/>
      <c r="AQ32" s="25" t="n"/>
      <c r="AR32" s="25" t="n"/>
      <c r="AS32" s="25" t="n"/>
      <c r="AT32" s="25" t="n"/>
      <c r="AU32" s="25" t="n"/>
      <c r="AV32" s="25" t="n"/>
      <c r="AW32" s="25" t="n"/>
      <c r="AX32" s="25" t="n"/>
      <c r="AY32" s="25" t="n"/>
      <c r="AZ32" s="25" t="n"/>
      <c r="BA32" s="25" t="n"/>
      <c r="BB32" s="25" t="n"/>
      <c r="BC32" s="25" t="n"/>
      <c r="BD32" s="25" t="n"/>
      <c r="BE32" s="25" t="n"/>
      <c r="BF32" s="25" t="n"/>
      <c r="BG32" s="25" t="n"/>
      <c r="BH32" s="25" t="n"/>
      <c r="BI32" s="25" t="n"/>
      <c r="BJ32" s="25" t="n"/>
      <c r="BK32" s="25" t="n"/>
      <c r="BL32" s="25" t="n"/>
      <c r="BM32" s="25" t="n"/>
      <c r="BN32" s="25" t="n"/>
      <c r="BO32" s="25" t="n"/>
      <c r="BP32" s="25" t="n"/>
      <c r="BQ32" s="25" t="n"/>
    </row>
  </sheetData>
  <mergeCells count="3">
    <mergeCell ref="A1:H4"/>
    <mergeCell ref="I3:J4"/>
    <mergeCell ref="F5:G5"/>
  </mergeCells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15">
    <outlinePr summaryBelow="1" summaryRight="1"/>
    <pageSetUpPr/>
  </sheetPr>
  <dimension ref="A1:BQ19"/>
  <sheetViews>
    <sheetView showGridLines="0" zoomScale="70" zoomScaleNormal="70" workbookViewId="0">
      <pane xSplit="12" ySplit="5" topLeftCell="R6" activePane="bottomRight" state="frozen"/>
      <selection pane="topRight" activeCell="A1" sqref="A1"/>
      <selection pane="bottomLeft" activeCell="A1" sqref="A1"/>
      <selection pane="bottomRight" activeCell="R13" sqref="R13"/>
    </sheetView>
  </sheetViews>
  <sheetFormatPr baseColWidth="10" defaultColWidth="8.83203125" defaultRowHeight="15"/>
  <cols>
    <col width="12.5" customWidth="1" style="3" min="1" max="1"/>
    <col width="25.1640625" customWidth="1" style="3" min="2" max="2"/>
    <col width="9.1640625" customWidth="1" style="3" min="3" max="3"/>
    <col width="23.1640625" customWidth="1" style="3" min="4" max="4"/>
    <col width="51.6640625" customWidth="1" style="48" min="5" max="5"/>
    <col width="8.83203125" customWidth="1" style="3" min="6" max="7"/>
    <col width="11.83203125" customWidth="1" style="3" min="8" max="8"/>
    <col width="14.1640625" customWidth="1" style="3" min="9" max="9"/>
    <col width="11.83203125" customWidth="1" style="3" min="10" max="10"/>
    <col width="12.83203125" customWidth="1" style="3" min="11" max="11"/>
    <col width="13.83203125" customWidth="1" style="3" min="12" max="12"/>
    <col width="9" customWidth="1" style="91" min="13" max="68"/>
  </cols>
  <sheetData>
    <row r="1" ht="16.25" customFormat="1" customHeight="1" s="101">
      <c r="A1" s="100" t="inlineStr">
        <is>
          <t>AD-10#拉拉裤</t>
        </is>
      </c>
      <c r="J1" s="4" t="inlineStr">
        <is>
          <t>单班</t>
        </is>
      </c>
      <c r="K1" s="4" t="n">
        <v>117810</v>
      </c>
      <c r="L1" s="5" t="inlineStr">
        <is>
          <t>未排产计划</t>
        </is>
      </c>
      <c r="M1" s="107" t="n"/>
    </row>
    <row r="2" ht="16.25" customFormat="1" customHeight="1" s="101">
      <c r="J2" s="4" t="inlineStr">
        <is>
          <t>双班</t>
        </is>
      </c>
      <c r="K2" s="4" t="n">
        <v>214200</v>
      </c>
      <c r="L2" s="5" t="inlineStr">
        <is>
          <t>4月排产计划</t>
        </is>
      </c>
      <c r="M2" s="108">
        <f>SUM(#REF!)</f>
        <v/>
      </c>
      <c r="N2" s="124" t="inlineStr">
        <is>
          <t>单</t>
        </is>
      </c>
      <c r="O2" s="124" t="inlineStr">
        <is>
          <t>单</t>
        </is>
      </c>
      <c r="P2" s="124" t="inlineStr">
        <is>
          <t>单</t>
        </is>
      </c>
      <c r="Q2" s="124" t="inlineStr">
        <is>
          <t>单</t>
        </is>
      </c>
      <c r="R2" s="124" t="inlineStr"/>
      <c r="S2" s="124" t="inlineStr">
        <is>
          <t>单</t>
        </is>
      </c>
      <c r="T2" s="124" t="inlineStr">
        <is>
          <t>单</t>
        </is>
      </c>
      <c r="U2" s="124" t="inlineStr">
        <is>
          <t>单</t>
        </is>
      </c>
      <c r="V2" s="124" t="inlineStr">
        <is>
          <t>单</t>
        </is>
      </c>
      <c r="W2" s="124" t="inlineStr">
        <is>
          <t>单</t>
        </is>
      </c>
      <c r="X2" s="124" t="inlineStr">
        <is>
          <t>单</t>
        </is>
      </c>
      <c r="Y2" s="124" t="inlineStr"/>
      <c r="Z2" s="124" t="inlineStr">
        <is>
          <t>单</t>
        </is>
      </c>
      <c r="AA2" s="124" t="inlineStr">
        <is>
          <t>单</t>
        </is>
      </c>
      <c r="AB2" s="124" t="inlineStr">
        <is>
          <t>单</t>
        </is>
      </c>
      <c r="AC2" s="124" t="inlineStr">
        <is>
          <t>单</t>
        </is>
      </c>
      <c r="AD2" s="124" t="inlineStr">
        <is>
          <t>单</t>
        </is>
      </c>
      <c r="AE2" s="124" t="inlineStr">
        <is>
          <t>单</t>
        </is>
      </c>
      <c r="AF2" s="124" t="inlineStr"/>
      <c r="AG2" s="124" t="inlineStr">
        <is>
          <t>单</t>
        </is>
      </c>
      <c r="AH2" s="124" t="inlineStr">
        <is>
          <t>单</t>
        </is>
      </c>
      <c r="AI2" s="124" t="inlineStr">
        <is>
          <t>单</t>
        </is>
      </c>
      <c r="AJ2" s="124" t="inlineStr">
        <is>
          <t>单</t>
        </is>
      </c>
      <c r="AK2" s="124" t="inlineStr">
        <is>
          <t>单</t>
        </is>
      </c>
      <c r="AL2" s="124" t="inlineStr">
        <is>
          <t>单</t>
        </is>
      </c>
      <c r="AM2" s="124" t="inlineStr"/>
      <c r="AN2" s="124" t="inlineStr">
        <is>
          <t>单</t>
        </is>
      </c>
      <c r="AO2" s="124" t="inlineStr">
        <is>
          <t>单</t>
        </is>
      </c>
      <c r="AP2" s="124" t="inlineStr">
        <is>
          <t>单</t>
        </is>
      </c>
      <c r="AQ2" s="124" t="inlineStr">
        <is>
          <t>单</t>
        </is>
      </c>
      <c r="AR2" s="124" t="inlineStr">
        <is>
          <t>单</t>
        </is>
      </c>
      <c r="AS2" s="124" t="inlineStr">
        <is>
          <t>单</t>
        </is>
      </c>
      <c r="AT2" s="124" t="inlineStr"/>
      <c r="AU2" s="124" t="inlineStr">
        <is>
          <t>单</t>
        </is>
      </c>
      <c r="AV2" s="124" t="inlineStr">
        <is>
          <t>单</t>
        </is>
      </c>
      <c r="AW2" s="124" t="inlineStr">
        <is>
          <t>单</t>
        </is>
      </c>
      <c r="AX2" s="124" t="inlineStr">
        <is>
          <t>单</t>
        </is>
      </c>
      <c r="AY2" s="124" t="inlineStr">
        <is>
          <t>单</t>
        </is>
      </c>
      <c r="AZ2" s="124" t="inlineStr">
        <is>
          <t>单</t>
        </is>
      </c>
      <c r="BA2" s="124" t="inlineStr"/>
      <c r="BB2" s="124" t="inlineStr">
        <is>
          <t>单</t>
        </is>
      </c>
      <c r="BC2" s="124" t="inlineStr">
        <is>
          <t>单</t>
        </is>
      </c>
      <c r="BD2" s="124" t="inlineStr">
        <is>
          <t>单</t>
        </is>
      </c>
      <c r="BE2" s="124" t="inlineStr">
        <is>
          <t>单</t>
        </is>
      </c>
      <c r="BF2" s="124" t="inlineStr">
        <is>
          <t>单</t>
        </is>
      </c>
      <c r="BG2" s="124" t="inlineStr">
        <is>
          <t>单</t>
        </is>
      </c>
      <c r="BH2" s="124" t="inlineStr"/>
      <c r="BI2" s="124" t="inlineStr">
        <is>
          <t>单</t>
        </is>
      </c>
      <c r="BJ2" s="124" t="inlineStr">
        <is>
          <t>单</t>
        </is>
      </c>
      <c r="BK2" s="124" t="inlineStr">
        <is>
          <t>单</t>
        </is>
      </c>
      <c r="BL2" s="124" t="inlineStr">
        <is>
          <t>单</t>
        </is>
      </c>
      <c r="BM2" s="124" t="inlineStr">
        <is>
          <t>单</t>
        </is>
      </c>
      <c r="BN2" s="124" t="inlineStr">
        <is>
          <t>单</t>
        </is>
      </c>
      <c r="BO2" s="124" t="inlineStr">
        <is>
          <t>单</t>
        </is>
      </c>
      <c r="BP2" s="124" t="inlineStr">
        <is>
          <t>单</t>
        </is>
      </c>
      <c r="BQ2" s="124" t="inlineStr">
        <is>
          <t>单</t>
        </is>
      </c>
    </row>
    <row r="3" ht="17" customFormat="1" customHeight="1" s="101">
      <c r="J3" s="102" t="n"/>
      <c r="K3" s="103" t="n"/>
      <c r="N3" s="0">
        <f>MAX(0,ROWS(UNIQUE(FILTER($F7:$F19,(N7:N19&gt;0)*($F7:$F19&lt;&gt;""))))-1)*IF(N2="双",VLOOKUP($A$1,'换码设置'!$A:$C,2,FALSE),IF(N2="单",VLOOKUP($A$1,'换码设置'!$A:$C,3,FALSE),0))</f>
        <v/>
      </c>
      <c r="O3" s="0">
        <f>MAX(0,ROWS(UNIQUE(FILTER($F7:$F19,(O7:O19&gt;0)*($F7:$F19&lt;&gt;""))))-1)*IF(O2="双",VLOOKUP($A$1,'换码设置'!$A:$C,2,FALSE),IF(O2="单",VLOOKUP($A$1,'换码设置'!$A:$C,3,FALSE),0))</f>
        <v/>
      </c>
      <c r="P3" s="0">
        <f>MAX(0,ROWS(UNIQUE(FILTER($F7:$F19,(P7:P19&gt;0)*($F7:$F19&lt;&gt;""))))-1)*IF(P2="双",VLOOKUP($A$1,'换码设置'!$A:$C,2,FALSE),IF(P2="单",VLOOKUP($A$1,'换码设置'!$A:$C,3,FALSE),0))</f>
        <v/>
      </c>
      <c r="Q3" s="0">
        <f>MAX(0,ROWS(UNIQUE(FILTER($F7:$F19,(Q7:Q19&gt;0)*($F7:$F19&lt;&gt;""))))-1)*IF(Q2="双",VLOOKUP($A$1,'换码设置'!$A:$C,2,FALSE),IF(Q2="单",VLOOKUP($A$1,'换码设置'!$A:$C,3,FALSE),0))</f>
        <v/>
      </c>
      <c r="R3" s="0">
        <f>MAX(0,ROWS(UNIQUE(FILTER($F7:$F19,(R7:R19&gt;0)*($F7:$F19&lt;&gt;""))))-1)*IF(R2="双",VLOOKUP($A$1,'换码设置'!$A:$C,2,FALSE),IF(R2="单",VLOOKUP($A$1,'换码设置'!$A:$C,3,FALSE),0))</f>
        <v/>
      </c>
      <c r="S3" s="0">
        <f>MAX(0,ROWS(UNIQUE(FILTER($F7:$F19,(S7:S19&gt;0)*($F7:$F19&lt;&gt;""))))-1)*IF(S2="双",VLOOKUP($A$1,'换码设置'!$A:$C,2,FALSE),IF(S2="单",VLOOKUP($A$1,'换码设置'!$A:$C,3,FALSE),0))</f>
        <v/>
      </c>
      <c r="T3" s="0">
        <f>MAX(0,ROWS(UNIQUE(FILTER($F7:$F19,(T7:T19&gt;0)*($F7:$F19&lt;&gt;""))))-1)*IF(T2="双",VLOOKUP($A$1,'换码设置'!$A:$C,2,FALSE),IF(T2="单",VLOOKUP($A$1,'换码设置'!$A:$C,3,FALSE),0))</f>
        <v/>
      </c>
      <c r="U3" s="0">
        <f>MAX(0,ROWS(UNIQUE(FILTER($F7:$F19,(U7:U19&gt;0)*($F7:$F19&lt;&gt;""))))-1)*IF(U2="双",VLOOKUP($A$1,'换码设置'!$A:$C,2,FALSE),IF(U2="单",VLOOKUP($A$1,'换码设置'!$A:$C,3,FALSE),0))</f>
        <v/>
      </c>
      <c r="V3" s="0">
        <f>MAX(0,ROWS(UNIQUE(FILTER($F7:$F19,(V7:V19&gt;0)*($F7:$F19&lt;&gt;""))))-1)*IF(V2="双",VLOOKUP($A$1,'换码设置'!$A:$C,2,FALSE),IF(V2="单",VLOOKUP($A$1,'换码设置'!$A:$C,3,FALSE),0))</f>
        <v/>
      </c>
      <c r="W3" s="0">
        <f>MAX(0,ROWS(UNIQUE(FILTER($F7:$F19,(W7:W19&gt;0)*($F7:$F19&lt;&gt;""))))-1)*IF(W2="双",VLOOKUP($A$1,'换码设置'!$A:$C,2,FALSE),IF(W2="单",VLOOKUP($A$1,'换码设置'!$A:$C,3,FALSE),0))</f>
        <v/>
      </c>
      <c r="X3" s="0">
        <f>MAX(0,ROWS(UNIQUE(FILTER($F7:$F19,(X7:X19&gt;0)*($F7:$F19&lt;&gt;""))))-1)*IF(X2="双",VLOOKUP($A$1,'换码设置'!$A:$C,2,FALSE),IF(X2="单",VLOOKUP($A$1,'换码设置'!$A:$C,3,FALSE),0))</f>
        <v/>
      </c>
      <c r="Y3" s="0">
        <f>MAX(0,ROWS(UNIQUE(FILTER($F7:$F19,(Y7:Y19&gt;0)*($F7:$F19&lt;&gt;""))))-1)*IF(Y2="双",VLOOKUP($A$1,'换码设置'!$A:$C,2,FALSE),IF(Y2="单",VLOOKUP($A$1,'换码设置'!$A:$C,3,FALSE),0))</f>
        <v/>
      </c>
      <c r="Z3" s="0">
        <f>MAX(0,ROWS(UNIQUE(FILTER($F7:$F19,(Z7:Z19&gt;0)*($F7:$F19&lt;&gt;""))))-1)*IF(Z2="双",VLOOKUP($A$1,'换码设置'!$A:$C,2,FALSE),IF(Z2="单",VLOOKUP($A$1,'换码设置'!$A:$C,3,FALSE),0))</f>
        <v/>
      </c>
      <c r="AA3" s="0">
        <f>MAX(0,ROWS(UNIQUE(FILTER($F7:$F19,(AA7:AA19&gt;0)*($F7:$F19&lt;&gt;""))))-1)*IF(AA2="双",VLOOKUP($A$1,'换码设置'!$A:$C,2,FALSE),IF(AA2="单",VLOOKUP($A$1,'换码设置'!$A:$C,3,FALSE),0))</f>
        <v/>
      </c>
      <c r="AB3" s="0">
        <f>MAX(0,ROWS(UNIQUE(FILTER($F7:$F19,(AB7:AB19&gt;0)*($F7:$F19&lt;&gt;""))))-1)*IF(AB2="双",VLOOKUP($A$1,'换码设置'!$A:$C,2,FALSE),IF(AB2="单",VLOOKUP($A$1,'换码设置'!$A:$C,3,FALSE),0))</f>
        <v/>
      </c>
      <c r="AC3" s="0">
        <f>MAX(0,ROWS(UNIQUE(FILTER($F7:$F19,(AC7:AC19&gt;0)*($F7:$F19&lt;&gt;""))))-1)*IF(AC2="双",VLOOKUP($A$1,'换码设置'!$A:$C,2,FALSE),IF(AC2="单",VLOOKUP($A$1,'换码设置'!$A:$C,3,FALSE),0))</f>
        <v/>
      </c>
      <c r="AD3" s="0">
        <f>MAX(0,ROWS(UNIQUE(FILTER($F7:$F19,(AD7:AD19&gt;0)*($F7:$F19&lt;&gt;""))))-1)*IF(AD2="双",VLOOKUP($A$1,'换码设置'!$A:$C,2,FALSE),IF(AD2="单",VLOOKUP($A$1,'换码设置'!$A:$C,3,FALSE),0))</f>
        <v/>
      </c>
      <c r="AE3" s="0">
        <f>MAX(0,ROWS(UNIQUE(FILTER($F7:$F19,(AE7:AE19&gt;0)*($F7:$F19&lt;&gt;""))))-1)*IF(AE2="双",VLOOKUP($A$1,'换码设置'!$A:$C,2,FALSE),IF(AE2="单",VLOOKUP($A$1,'换码设置'!$A:$C,3,FALSE),0))</f>
        <v/>
      </c>
      <c r="AF3" s="0">
        <f>MAX(0,ROWS(UNIQUE(FILTER($F7:$F19,(AF7:AF19&gt;0)*($F7:$F19&lt;&gt;""))))-1)*IF(AF2="双",VLOOKUP($A$1,'换码设置'!$A:$C,2,FALSE),IF(AF2="单",VLOOKUP($A$1,'换码设置'!$A:$C,3,FALSE),0))</f>
        <v/>
      </c>
      <c r="AG3" s="0">
        <f>MAX(0,ROWS(UNIQUE(FILTER($F7:$F19,(AG7:AG19&gt;0)*($F7:$F19&lt;&gt;""))))-1)*IF(AG2="双",VLOOKUP($A$1,'换码设置'!$A:$C,2,FALSE),IF(AG2="单",VLOOKUP($A$1,'换码设置'!$A:$C,3,FALSE),0))</f>
        <v/>
      </c>
      <c r="AH3" s="0">
        <f>MAX(0,ROWS(UNIQUE(FILTER($F7:$F19,(AH7:AH19&gt;0)*($F7:$F19&lt;&gt;""))))-1)*IF(AH2="双",VLOOKUP($A$1,'换码设置'!$A:$C,2,FALSE),IF(AH2="单",VLOOKUP($A$1,'换码设置'!$A:$C,3,FALSE),0))</f>
        <v/>
      </c>
      <c r="AI3" s="0">
        <f>MAX(0,ROWS(UNIQUE(FILTER($F7:$F19,(AI7:AI19&gt;0)*($F7:$F19&lt;&gt;""))))-1)*IF(AI2="双",VLOOKUP($A$1,'换码设置'!$A:$C,2,FALSE),IF(AI2="单",VLOOKUP($A$1,'换码设置'!$A:$C,3,FALSE),0))</f>
        <v/>
      </c>
      <c r="AJ3" s="0">
        <f>MAX(0,ROWS(UNIQUE(FILTER($F7:$F19,(AJ7:AJ19&gt;0)*($F7:$F19&lt;&gt;""))))-1)*IF(AJ2="双",VLOOKUP($A$1,'换码设置'!$A:$C,2,FALSE),IF(AJ2="单",VLOOKUP($A$1,'换码设置'!$A:$C,3,FALSE),0))</f>
        <v/>
      </c>
      <c r="AK3" s="0">
        <f>MAX(0,ROWS(UNIQUE(FILTER($F7:$F19,(AK7:AK19&gt;0)*($F7:$F19&lt;&gt;""))))-1)*IF(AK2="双",VLOOKUP($A$1,'换码设置'!$A:$C,2,FALSE),IF(AK2="单",VLOOKUP($A$1,'换码设置'!$A:$C,3,FALSE),0))</f>
        <v/>
      </c>
      <c r="AL3" s="0">
        <f>MAX(0,ROWS(UNIQUE(FILTER($F7:$F19,(AL7:AL19&gt;0)*($F7:$F19&lt;&gt;""))))-1)*IF(AL2="双",VLOOKUP($A$1,'换码设置'!$A:$C,2,FALSE),IF(AL2="单",VLOOKUP($A$1,'换码设置'!$A:$C,3,FALSE),0))</f>
        <v/>
      </c>
      <c r="AM3" s="0">
        <f>MAX(0,ROWS(UNIQUE(FILTER($F7:$F19,(AM7:AM19&gt;0)*($F7:$F19&lt;&gt;""))))-1)*IF(AM2="双",VLOOKUP($A$1,'换码设置'!$A:$C,2,FALSE),IF(AM2="单",VLOOKUP($A$1,'换码设置'!$A:$C,3,FALSE),0))</f>
        <v/>
      </c>
      <c r="AN3" s="0">
        <f>MAX(0,ROWS(UNIQUE(FILTER($F7:$F19,(AN7:AN19&gt;0)*($F7:$F19&lt;&gt;""))))-1)*IF(AN2="双",VLOOKUP($A$1,'换码设置'!$A:$C,2,FALSE),IF(AN2="单",VLOOKUP($A$1,'换码设置'!$A:$C,3,FALSE),0))</f>
        <v/>
      </c>
      <c r="AO3" s="0">
        <f>MAX(0,ROWS(UNIQUE(FILTER($F7:$F19,(AO7:AO19&gt;0)*($F7:$F19&lt;&gt;""))))-1)*IF(AO2="双",VLOOKUP($A$1,'换码设置'!$A:$C,2,FALSE),IF(AO2="单",VLOOKUP($A$1,'换码设置'!$A:$C,3,FALSE),0))</f>
        <v/>
      </c>
      <c r="AP3" s="0">
        <f>MAX(0,ROWS(UNIQUE(FILTER($F7:$F19,(AP7:AP19&gt;0)*($F7:$F19&lt;&gt;""))))-1)*IF(AP2="双",VLOOKUP($A$1,'换码设置'!$A:$C,2,FALSE),IF(AP2="单",VLOOKUP($A$1,'换码设置'!$A:$C,3,FALSE),0))</f>
        <v/>
      </c>
      <c r="AQ3" s="0">
        <f>MAX(0,ROWS(UNIQUE(FILTER($F7:$F19,(AQ7:AQ19&gt;0)*($F7:$F19&lt;&gt;""))))-1)*IF(AQ2="双",VLOOKUP($A$1,'换码设置'!$A:$C,2,FALSE),IF(AQ2="单",VLOOKUP($A$1,'换码设置'!$A:$C,3,FALSE),0))</f>
        <v/>
      </c>
      <c r="AR3" s="0">
        <f>MAX(0,ROWS(UNIQUE(FILTER($F7:$F19,(AR7:AR19&gt;0)*($F7:$F19&lt;&gt;""))))-1)*IF(AR2="双",VLOOKUP($A$1,'换码设置'!$A:$C,2,FALSE),IF(AR2="单",VLOOKUP($A$1,'换码设置'!$A:$C,3,FALSE),0))</f>
        <v/>
      </c>
      <c r="AS3" s="0">
        <f>MAX(0,ROWS(UNIQUE(FILTER($F7:$F19,(AS7:AS19&gt;0)*($F7:$F19&lt;&gt;""))))-1)*IF(AS2="双",VLOOKUP($A$1,'换码设置'!$A:$C,2,FALSE),IF(AS2="单",VLOOKUP($A$1,'换码设置'!$A:$C,3,FALSE),0))</f>
        <v/>
      </c>
      <c r="AT3" s="0">
        <f>MAX(0,ROWS(UNIQUE(FILTER($F7:$F19,(AT7:AT19&gt;0)*($F7:$F19&lt;&gt;""))))-1)*IF(AT2="双",VLOOKUP($A$1,'换码设置'!$A:$C,2,FALSE),IF(AT2="单",VLOOKUP($A$1,'换码设置'!$A:$C,3,FALSE),0))</f>
        <v/>
      </c>
      <c r="AU3" s="0">
        <f>MAX(0,ROWS(UNIQUE(FILTER($F7:$F19,(AU7:AU19&gt;0)*($F7:$F19&lt;&gt;""))))-1)*IF(AU2="双",VLOOKUP($A$1,'换码设置'!$A:$C,2,FALSE),IF(AU2="单",VLOOKUP($A$1,'换码设置'!$A:$C,3,FALSE),0))</f>
        <v/>
      </c>
      <c r="AV3" s="0">
        <f>MAX(0,ROWS(UNIQUE(FILTER($F7:$F19,(AV7:AV19&gt;0)*($F7:$F19&lt;&gt;""))))-1)*IF(AV2="双",VLOOKUP($A$1,'换码设置'!$A:$C,2,FALSE),IF(AV2="单",VLOOKUP($A$1,'换码设置'!$A:$C,3,FALSE),0))</f>
        <v/>
      </c>
      <c r="AW3" s="0">
        <f>MAX(0,ROWS(UNIQUE(FILTER($F7:$F19,(AW7:AW19&gt;0)*($F7:$F19&lt;&gt;""))))-1)*IF(AW2="双",VLOOKUP($A$1,'换码设置'!$A:$C,2,FALSE),IF(AW2="单",VLOOKUP($A$1,'换码设置'!$A:$C,3,FALSE),0))</f>
        <v/>
      </c>
      <c r="AX3" s="0">
        <f>MAX(0,ROWS(UNIQUE(FILTER($F7:$F19,(AX7:AX19&gt;0)*($F7:$F19&lt;&gt;""))))-1)*IF(AX2="双",VLOOKUP($A$1,'换码设置'!$A:$C,2,FALSE),IF(AX2="单",VLOOKUP($A$1,'换码设置'!$A:$C,3,FALSE),0))</f>
        <v/>
      </c>
      <c r="AY3" s="0">
        <f>MAX(0,ROWS(UNIQUE(FILTER($F7:$F19,(AY7:AY19&gt;0)*($F7:$F19&lt;&gt;""))))-1)*IF(AY2="双",VLOOKUP($A$1,'换码设置'!$A:$C,2,FALSE),IF(AY2="单",VLOOKUP($A$1,'换码设置'!$A:$C,3,FALSE),0))</f>
        <v/>
      </c>
      <c r="AZ3" s="0">
        <f>MAX(0,ROWS(UNIQUE(FILTER($F7:$F19,(AZ7:AZ19&gt;0)*($F7:$F19&lt;&gt;""))))-1)*IF(AZ2="双",VLOOKUP($A$1,'换码设置'!$A:$C,2,FALSE),IF(AZ2="单",VLOOKUP($A$1,'换码设置'!$A:$C,3,FALSE),0))</f>
        <v/>
      </c>
      <c r="BA3" s="0">
        <f>MAX(0,ROWS(UNIQUE(FILTER($F7:$F19,(BA7:BA19&gt;0)*($F7:$F19&lt;&gt;""))))-1)*IF(BA2="双",VLOOKUP($A$1,'换码设置'!$A:$C,2,FALSE),IF(BA2="单",VLOOKUP($A$1,'换码设置'!$A:$C,3,FALSE),0))</f>
        <v/>
      </c>
      <c r="BB3" s="0">
        <f>MAX(0,ROWS(UNIQUE(FILTER($F7:$F19,(BB7:BB19&gt;0)*($F7:$F19&lt;&gt;""))))-1)*IF(BB2="双",VLOOKUP($A$1,'换码设置'!$A:$C,2,FALSE),IF(BB2="单",VLOOKUP($A$1,'换码设置'!$A:$C,3,FALSE),0))</f>
        <v/>
      </c>
      <c r="BC3" s="0">
        <f>MAX(0,ROWS(UNIQUE(FILTER($F7:$F19,(BC7:BC19&gt;0)*($F7:$F19&lt;&gt;""))))-1)*IF(BC2="双",VLOOKUP($A$1,'换码设置'!$A:$C,2,FALSE),IF(BC2="单",VLOOKUP($A$1,'换码设置'!$A:$C,3,FALSE),0))</f>
        <v/>
      </c>
      <c r="BD3" s="0">
        <f>MAX(0,ROWS(UNIQUE(FILTER($F7:$F19,(BD7:BD19&gt;0)*($F7:$F19&lt;&gt;""))))-1)*IF(BD2="双",VLOOKUP($A$1,'换码设置'!$A:$C,2,FALSE),IF(BD2="单",VLOOKUP($A$1,'换码设置'!$A:$C,3,FALSE),0))</f>
        <v/>
      </c>
      <c r="BE3" s="0">
        <f>MAX(0,ROWS(UNIQUE(FILTER($F7:$F19,(BE7:BE19&gt;0)*($F7:$F19&lt;&gt;""))))-1)*IF(BE2="双",VLOOKUP($A$1,'换码设置'!$A:$C,2,FALSE),IF(BE2="单",VLOOKUP($A$1,'换码设置'!$A:$C,3,FALSE),0))</f>
        <v/>
      </c>
      <c r="BF3" s="0">
        <f>MAX(0,ROWS(UNIQUE(FILTER($F7:$F19,(BF7:BF19&gt;0)*($F7:$F19&lt;&gt;""))))-1)*IF(BF2="双",VLOOKUP($A$1,'换码设置'!$A:$C,2,FALSE),IF(BF2="单",VLOOKUP($A$1,'换码设置'!$A:$C,3,FALSE),0))</f>
        <v/>
      </c>
      <c r="BG3" s="0">
        <f>MAX(0,ROWS(UNIQUE(FILTER($F7:$F19,(BG7:BG19&gt;0)*($F7:$F19&lt;&gt;""))))-1)*IF(BG2="双",VLOOKUP($A$1,'换码设置'!$A:$C,2,FALSE),IF(BG2="单",VLOOKUP($A$1,'换码设置'!$A:$C,3,FALSE),0))</f>
        <v/>
      </c>
      <c r="BH3" s="0">
        <f>MAX(0,ROWS(UNIQUE(FILTER($F7:$F19,(BH7:BH19&gt;0)*($F7:$F19&lt;&gt;""))))-1)*IF(BH2="双",VLOOKUP($A$1,'换码设置'!$A:$C,2,FALSE),IF(BH2="单",VLOOKUP($A$1,'换码设置'!$A:$C,3,FALSE),0))</f>
        <v/>
      </c>
      <c r="BI3" s="0">
        <f>MAX(0,ROWS(UNIQUE(FILTER($F7:$F19,(BI7:BI19&gt;0)*($F7:$F19&lt;&gt;""))))-1)*IF(BI2="双",VLOOKUP($A$1,'换码设置'!$A:$C,2,FALSE),IF(BI2="单",VLOOKUP($A$1,'换码设置'!$A:$C,3,FALSE),0))</f>
        <v/>
      </c>
      <c r="BJ3" s="0">
        <f>MAX(0,ROWS(UNIQUE(FILTER($F7:$F19,(BJ7:BJ19&gt;0)*($F7:$F19&lt;&gt;""))))-1)*IF(BJ2="双",VLOOKUP($A$1,'换码设置'!$A:$C,2,FALSE),IF(BJ2="单",VLOOKUP($A$1,'换码设置'!$A:$C,3,FALSE),0))</f>
        <v/>
      </c>
      <c r="BK3" s="0">
        <f>MAX(0,ROWS(UNIQUE(FILTER($F7:$F19,(BK7:BK19&gt;0)*($F7:$F19&lt;&gt;""))))-1)*IF(BK2="双",VLOOKUP($A$1,'换码设置'!$A:$C,2,FALSE),IF(BK2="单",VLOOKUP($A$1,'换码设置'!$A:$C,3,FALSE),0))</f>
        <v/>
      </c>
      <c r="BL3" s="0">
        <f>MAX(0,ROWS(UNIQUE(FILTER($F7:$F19,(BL7:BL19&gt;0)*($F7:$F19&lt;&gt;""))))-1)*IF(BL2="双",VLOOKUP($A$1,'换码设置'!$A:$C,2,FALSE),IF(BL2="单",VLOOKUP($A$1,'换码设置'!$A:$C,3,FALSE),0))</f>
        <v/>
      </c>
      <c r="BM3" s="0">
        <f>MAX(0,ROWS(UNIQUE(FILTER($F7:$F19,(BM7:BM19&gt;0)*($F7:$F19&lt;&gt;""))))-1)*IF(BM2="双",VLOOKUP($A$1,'换码设置'!$A:$C,2,FALSE),IF(BM2="单",VLOOKUP($A$1,'换码设置'!$A:$C,3,FALSE),0))</f>
        <v/>
      </c>
      <c r="BN3" s="0">
        <f>MAX(0,ROWS(UNIQUE(FILTER($F7:$F19,(BN7:BN19&gt;0)*($F7:$F19&lt;&gt;""))))-1)*IF(BN2="双",VLOOKUP($A$1,'换码设置'!$A:$C,2,FALSE),IF(BN2="单",VLOOKUP($A$1,'换码设置'!$A:$C,3,FALSE),0))</f>
        <v/>
      </c>
      <c r="BO3" s="0">
        <f>MAX(0,ROWS(UNIQUE(FILTER($F7:$F19,(BO7:BO19&gt;0)*($F7:$F19&lt;&gt;""))))-1)*IF(BO2="双",VLOOKUP($A$1,'换码设置'!$A:$C,2,FALSE),IF(BO2="单",VLOOKUP($A$1,'换码设置'!$A:$C,3,FALSE),0))</f>
        <v/>
      </c>
      <c r="BP3" s="0">
        <f>MAX(0,ROWS(UNIQUE(FILTER($F7:$F19,(BP7:BP19&gt;0)*($F7:$F19&lt;&gt;""))))-1)*IF(BP2="双",VLOOKUP($A$1,'换码设置'!$A:$C,2,FALSE),IF(BP2="单",VLOOKUP($A$1,'换码设置'!$A:$C,3,FALSE),0))</f>
        <v/>
      </c>
      <c r="BQ3" s="0">
        <f>MAX(0,ROWS(UNIQUE(FILTER($F7:$F19,(BQ7:BQ19&gt;0)*($F7:$F19&lt;&gt;""))))-1)*IF(BQ2="双",VLOOKUP($A$1,'换码设置'!$A:$C,2,FALSE),IF(BQ2="单",VLOOKUP($A$1,'换码设置'!$A:$C,3,FALSE),0))</f>
        <v/>
      </c>
    </row>
    <row r="4" ht="17" customFormat="1" customHeight="1" s="101">
      <c r="K4" s="103" t="n"/>
      <c r="L4" s="5" t="inlineStr">
        <is>
          <t>5月排产计划</t>
        </is>
      </c>
      <c r="M4" s="108">
        <f>SUM(M5:AL5)</f>
        <v/>
      </c>
      <c r="N4" s="109" t="n">
        <v>46148</v>
      </c>
      <c r="O4" s="109" t="n">
        <v>46149</v>
      </c>
      <c r="P4" s="109" t="n">
        <v>46150</v>
      </c>
      <c r="Q4" s="109" t="n">
        <v>46151</v>
      </c>
      <c r="R4" s="109" t="n">
        <v>46152</v>
      </c>
      <c r="S4" s="109" t="n">
        <v>46153</v>
      </c>
      <c r="T4" s="109" t="n">
        <v>46154</v>
      </c>
      <c r="U4" s="109" t="n">
        <v>46155</v>
      </c>
      <c r="V4" s="109" t="n">
        <v>46156</v>
      </c>
      <c r="W4" s="109" t="n">
        <v>46157</v>
      </c>
      <c r="X4" s="109" t="n">
        <v>46158</v>
      </c>
      <c r="Y4" s="109" t="n">
        <v>46159</v>
      </c>
      <c r="Z4" s="109" t="n">
        <v>46160</v>
      </c>
      <c r="AA4" s="109" t="n">
        <v>46161</v>
      </c>
      <c r="AB4" s="109" t="n">
        <v>46162</v>
      </c>
      <c r="AC4" s="109" t="n">
        <v>46163</v>
      </c>
      <c r="AD4" s="109" t="n">
        <v>46164</v>
      </c>
      <c r="AE4" s="109" t="n">
        <v>46165</v>
      </c>
      <c r="AF4" s="109" t="n">
        <v>46166</v>
      </c>
      <c r="AG4" s="109" t="n">
        <v>46167</v>
      </c>
      <c r="AH4" s="109" t="n">
        <v>46168</v>
      </c>
      <c r="AI4" s="109" t="n">
        <v>46169</v>
      </c>
      <c r="AJ4" s="109" t="n">
        <v>46170</v>
      </c>
      <c r="AK4" s="109" t="n">
        <v>46171</v>
      </c>
      <c r="AL4" s="109" t="n">
        <v>46172</v>
      </c>
      <c r="AM4" s="109" t="n">
        <v>46173</v>
      </c>
      <c r="AN4" s="109" t="n">
        <v>46174</v>
      </c>
      <c r="AO4" s="109" t="n">
        <v>46175</v>
      </c>
      <c r="AP4" s="109" t="n">
        <v>46176</v>
      </c>
      <c r="AQ4" s="109" t="n">
        <v>46177</v>
      </c>
      <c r="AR4" s="109" t="n">
        <v>46178</v>
      </c>
      <c r="AS4" s="109" t="n">
        <v>46179</v>
      </c>
      <c r="AT4" s="109" t="n">
        <v>46180</v>
      </c>
      <c r="AU4" s="109" t="n">
        <v>46181</v>
      </c>
      <c r="AV4" s="109" t="n">
        <v>46182</v>
      </c>
      <c r="AW4" s="109" t="n">
        <v>46183</v>
      </c>
      <c r="AX4" s="109" t="n">
        <v>46184</v>
      </c>
      <c r="AY4" s="109" t="n">
        <v>46185</v>
      </c>
      <c r="AZ4" s="109" t="n">
        <v>46186</v>
      </c>
      <c r="BA4" s="109" t="n">
        <v>46187</v>
      </c>
      <c r="BB4" s="109" t="n">
        <v>46188</v>
      </c>
      <c r="BC4" s="109" t="n">
        <v>46189</v>
      </c>
      <c r="BD4" s="109" t="n">
        <v>46190</v>
      </c>
      <c r="BE4" s="109" t="n">
        <v>46191</v>
      </c>
      <c r="BF4" s="109" t="n">
        <v>46192</v>
      </c>
      <c r="BG4" s="109" t="n">
        <v>46193</v>
      </c>
      <c r="BH4" s="109" t="n">
        <v>46194</v>
      </c>
      <c r="BI4" s="109" t="n">
        <v>46195</v>
      </c>
      <c r="BJ4" s="109" t="n">
        <v>46196</v>
      </c>
      <c r="BK4" s="109" t="n">
        <v>46197</v>
      </c>
      <c r="BL4" s="109" t="n">
        <v>46198</v>
      </c>
      <c r="BM4" s="109" t="n">
        <v>46199</v>
      </c>
      <c r="BN4" s="109" t="n">
        <v>46200</v>
      </c>
      <c r="BO4" s="109" t="n">
        <v>46201</v>
      </c>
      <c r="BP4" s="109" t="n">
        <v>46202</v>
      </c>
      <c r="BQ4" s="109" t="n">
        <v>46203</v>
      </c>
    </row>
    <row r="5" ht="17" customFormat="1" customHeight="1" s="101">
      <c r="G5" s="101" t="n"/>
      <c r="J5" s="95" t="n"/>
      <c r="K5" s="96" t="n"/>
      <c r="L5" s="5" t="inlineStr">
        <is>
          <t>目前总共订单</t>
        </is>
      </c>
      <c r="M5" s="110">
        <f>SUM(L1:L3)</f>
        <v/>
      </c>
      <c r="N5" s="10">
        <f>IF(N2="单",$K$1,IF(N2="双",$K$2,0))-N3-N6</f>
        <v/>
      </c>
      <c r="O5" s="10">
        <f>IF(O2="单",$K$1,IF(O2="双",$K$2,0))-O3-O6</f>
        <v/>
      </c>
      <c r="P5" s="10">
        <f>IF(P2="单",$K$1,IF(P2="双",$K$2,0))-P3-P6</f>
        <v/>
      </c>
      <c r="Q5" s="10">
        <f>IF(Q2="单",$K$1,IF(Q2="双",$K$2,0))-Q3-Q6</f>
        <v/>
      </c>
      <c r="R5" s="10">
        <f>IF(R2="单",$K$1,IF(R2="双",$K$2,0))-R3-R6</f>
        <v/>
      </c>
      <c r="S5" s="10">
        <f>IF(S2="单",$K$1,IF(S2="双",$K$2,0))-S3-S6</f>
        <v/>
      </c>
      <c r="T5" s="10">
        <f>IF(T2="单",$K$1,IF(T2="双",$K$2,0))-T3-T6</f>
        <v/>
      </c>
      <c r="U5" s="10">
        <f>IF(U2="单",$K$1,IF(U2="双",$K$2,0))-U3-U6</f>
        <v/>
      </c>
      <c r="V5" s="10">
        <f>IF(V2="单",$K$1,IF(V2="双",$K$2,0))-V3-V6</f>
        <v/>
      </c>
      <c r="W5" s="10">
        <f>IF(W2="单",$K$1,IF(W2="双",$K$2,0))-W3-W6</f>
        <v/>
      </c>
      <c r="X5" s="10">
        <f>IF(X2="单",$K$1,IF(X2="双",$K$2,0))-X3-X6</f>
        <v/>
      </c>
      <c r="Y5" s="10">
        <f>IF(Y2="单",$K$1,IF(Y2="双",$K$2,0))-Y3-Y6</f>
        <v/>
      </c>
      <c r="Z5" s="10">
        <f>IF(Z2="单",$K$1,IF(Z2="双",$K$2,0))-Z3-Z6</f>
        <v/>
      </c>
      <c r="AA5" s="10">
        <f>IF(AA2="单",$K$1,IF(AA2="双",$K$2,0))-AA3-AA6</f>
        <v/>
      </c>
      <c r="AB5" s="10">
        <f>IF(AB2="单",$K$1,IF(AB2="双",$K$2,0))-AB3-AB6</f>
        <v/>
      </c>
      <c r="AC5" s="10">
        <f>IF(AC2="单",$K$1,IF(AC2="双",$K$2,0))-AC3-AC6</f>
        <v/>
      </c>
      <c r="AD5" s="10">
        <f>IF(AD2="单",$K$1,IF(AD2="双",$K$2,0))-AD3-AD6</f>
        <v/>
      </c>
      <c r="AE5" s="10">
        <f>IF(AE2="单",$K$1,IF(AE2="双",$K$2,0))-AE3-AE6</f>
        <v/>
      </c>
      <c r="AF5" s="10">
        <f>IF(AF2="单",$K$1,IF(AF2="双",$K$2,0))-AF3-AF6</f>
        <v/>
      </c>
      <c r="AG5" s="10">
        <f>IF(AG2="单",$K$1,IF(AG2="双",$K$2,0))-AG3-AG6</f>
        <v/>
      </c>
      <c r="AH5" s="10">
        <f>IF(AH2="单",$K$1,IF(AH2="双",$K$2,0))-AH3-AH6</f>
        <v/>
      </c>
      <c r="AI5" s="10">
        <f>IF(AI2="单",$K$1,IF(AI2="双",$K$2,0))-AI3-AI6</f>
        <v/>
      </c>
      <c r="AJ5" s="10">
        <f>IF(AJ2="单",$K$1,IF(AJ2="双",$K$2,0))-AJ3-AJ6</f>
        <v/>
      </c>
      <c r="AK5" s="10">
        <f>IF(AK2="单",$K$1,IF(AK2="双",$K$2,0))-AK3-AK6</f>
        <v/>
      </c>
      <c r="AL5" s="10">
        <f>IF(AL2="单",$K$1,IF(AL2="双",$K$2,0))-AL3-AL6</f>
        <v/>
      </c>
      <c r="AM5" s="10">
        <f>IF(AM2="单",$K$1,IF(AM2="双",$K$2,0))-AM3-AM6</f>
        <v/>
      </c>
      <c r="AN5" s="10">
        <f>IF(AN2="单",$K$1,IF(AN2="双",$K$2,0))-AN3-AN6</f>
        <v/>
      </c>
      <c r="AO5" s="10">
        <f>IF(AO2="单",$K$1,IF(AO2="双",$K$2,0))-AO3-AO6</f>
        <v/>
      </c>
      <c r="AP5" s="10">
        <f>IF(AP2="单",$K$1,IF(AP2="双",$K$2,0))-AP3-AP6</f>
        <v/>
      </c>
      <c r="AQ5" s="10">
        <f>IF(AQ2="单",$K$1,IF(AQ2="双",$K$2,0))-AQ3-AQ6</f>
        <v/>
      </c>
      <c r="AR5" s="10">
        <f>IF(AR2="单",$K$1,IF(AR2="双",$K$2,0))-AR3-AR6</f>
        <v/>
      </c>
      <c r="AS5" s="10">
        <f>IF(AS2="单",$K$1,IF(AS2="双",$K$2,0))-AS3-AS6</f>
        <v/>
      </c>
      <c r="AT5" s="10">
        <f>IF(AT2="单",$K$1,IF(AT2="双",$K$2,0))-AT3-AT6</f>
        <v/>
      </c>
      <c r="AU5" s="10">
        <f>IF(AU2="单",$K$1,IF(AU2="双",$K$2,0))-AU3-AU6</f>
        <v/>
      </c>
      <c r="AV5" s="10">
        <f>IF(AV2="单",$K$1,IF(AV2="双",$K$2,0))-AV3-AV6</f>
        <v/>
      </c>
      <c r="AW5" s="10">
        <f>IF(AW2="单",$K$1,IF(AW2="双",$K$2,0))-AW3-AW6</f>
        <v/>
      </c>
      <c r="AX5" s="10">
        <f>IF(AX2="单",$K$1,IF(AX2="双",$K$2,0))-AX3-AX6</f>
        <v/>
      </c>
      <c r="AY5" s="10">
        <f>IF(AY2="单",$K$1,IF(AY2="双",$K$2,0))-AY3-AY6</f>
        <v/>
      </c>
      <c r="AZ5" s="10">
        <f>IF(AZ2="单",$K$1,IF(AZ2="双",$K$2,0))-AZ3-AZ6</f>
        <v/>
      </c>
      <c r="BA5" s="10">
        <f>IF(BA2="单",$K$1,IF(BA2="双",$K$2,0))-BA3-BA6</f>
        <v/>
      </c>
      <c r="BB5" s="10">
        <f>IF(BB2="单",$K$1,IF(BB2="双",$K$2,0))-BB3-BB6</f>
        <v/>
      </c>
      <c r="BC5" s="10">
        <f>IF(BC2="单",$K$1,IF(BC2="双",$K$2,0))-BC3-BC6</f>
        <v/>
      </c>
      <c r="BD5" s="10">
        <f>IF(BD2="单",$K$1,IF(BD2="双",$K$2,0))-BD3-BD6</f>
        <v/>
      </c>
      <c r="BE5" s="10">
        <f>IF(BE2="单",$K$1,IF(BE2="双",$K$2,0))-BE3-BE6</f>
        <v/>
      </c>
      <c r="BF5" s="10">
        <f>IF(BF2="单",$K$1,IF(BF2="双",$K$2,0))-BF3-BF6</f>
        <v/>
      </c>
      <c r="BG5" s="10">
        <f>IF(BG2="单",$K$1,IF(BG2="双",$K$2,0))-BG3-BG6</f>
        <v/>
      </c>
      <c r="BH5" s="10">
        <f>IF(BH2="单",$K$1,IF(BH2="双",$K$2,0))-BH3-BH6</f>
        <v/>
      </c>
      <c r="BI5" s="10">
        <f>IF(BI2="单",$K$1,IF(BI2="双",$K$2,0))-BI3-BI6</f>
        <v/>
      </c>
      <c r="BJ5" s="10">
        <f>IF(BJ2="单",$K$1,IF(BJ2="双",$K$2,0))-BJ3-BJ6</f>
        <v/>
      </c>
      <c r="BK5" s="10">
        <f>IF(BK2="单",$K$1,IF(BK2="双",$K$2,0))-BK3-BK6</f>
        <v/>
      </c>
      <c r="BL5" s="10">
        <f>IF(BL2="单",$K$1,IF(BL2="双",$K$2,0))-BL3-BL6</f>
        <v/>
      </c>
      <c r="BM5" s="10">
        <f>IF(BM2="单",$K$1,IF(BM2="双",$K$2,0))-BM3-BM6</f>
        <v/>
      </c>
      <c r="BN5" s="10">
        <f>IF(BN2="单",$K$1,IF(BN2="双",$K$2,0))-BN3-BN6</f>
        <v/>
      </c>
      <c r="BO5" s="10">
        <f>IF(BO2="单",$K$1,IF(BO2="双",$K$2,0))-BO3-BO6</f>
        <v/>
      </c>
      <c r="BP5" s="10">
        <f>IF(BP2="单",$K$1,IF(BP2="双",$K$2,0))-BP3-BP6</f>
        <v/>
      </c>
      <c r="BQ5" s="10">
        <f>IF(BQ2="单",$K$1,IF(BQ2="双",$K$2,0))-BQ3-BQ6</f>
        <v/>
      </c>
    </row>
    <row r="6" ht="15.5" customFormat="1" customHeight="1" s="2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t="inlineStr">
        <is>
          <t>尺码</t>
        </is>
      </c>
      <c r="G6" s="97" t="inlineStr">
        <is>
          <t>规格(p*b*z)</t>
        </is>
      </c>
      <c r="H6" s="98" t="n"/>
      <c r="I6" s="111" t="inlineStr">
        <is>
          <t>下单时间</t>
        </is>
      </c>
      <c r="J6" s="112" t="inlineStr">
        <is>
          <t>最晚交货时间</t>
        </is>
      </c>
      <c r="K6" s="15" t="inlineStr">
        <is>
          <t>下单箱数</t>
        </is>
      </c>
      <c r="L6" s="16" t="inlineStr">
        <is>
          <t>下单片数</t>
        </is>
      </c>
      <c r="M6" s="17" t="inlineStr">
        <is>
          <t>剩余排产</t>
        </is>
      </c>
      <c r="N6" s="17">
        <f>SUMPRODUCT($G7:$G9964,$H7:$H9964,N$7:N$9964)</f>
        <v/>
      </c>
      <c r="O6" s="17">
        <f>SUMPRODUCT($G7:$G9964,$H7:$H9964,O$7:O$9964)</f>
        <v/>
      </c>
      <c r="P6" s="17">
        <f>SUMPRODUCT($G7:$G9964,$H7:$H9964,P$7:P$9964)</f>
        <v/>
      </c>
      <c r="Q6" s="17">
        <f>SUMPRODUCT($G7:$G9964,$H7:$H9964,Q$7:Q$9964)</f>
        <v/>
      </c>
      <c r="R6" s="17">
        <f>SUMPRODUCT($G7:$G9964,$H7:$H9964,R$7:R$9964)</f>
        <v/>
      </c>
      <c r="S6" s="17">
        <f>SUMPRODUCT($G7:$G9964,$H7:$H9964,S$7:S$9964)</f>
        <v/>
      </c>
      <c r="T6" s="17">
        <f>SUMPRODUCT($G7:$G9964,$H7:$H9964,T$7:T$9964)</f>
        <v/>
      </c>
      <c r="U6" s="17">
        <f>SUMPRODUCT($G7:$G9964,$H7:$H9964,U$7:U$9964)</f>
        <v/>
      </c>
      <c r="V6" s="17">
        <f>SUMPRODUCT($G7:$G9964,$H7:$H9964,V$7:V$9964)</f>
        <v/>
      </c>
      <c r="W6" s="17">
        <f>SUMPRODUCT($G7:$G9964,$H7:$H9964,W$7:W$9964)</f>
        <v/>
      </c>
      <c r="X6" s="17">
        <f>SUMPRODUCT($G7:$G9964,$H7:$H9964,X$7:X$9964)</f>
        <v/>
      </c>
      <c r="Y6" s="17">
        <f>SUMPRODUCT($G7:$G9964,$H7:$H9964,Y$7:Y$9964)</f>
        <v/>
      </c>
      <c r="Z6" s="17">
        <f>SUMPRODUCT($G7:$G9964,$H7:$H9964,Z$7:Z$9964)</f>
        <v/>
      </c>
      <c r="AA6" s="17">
        <f>SUMPRODUCT($G7:$G9964,$H7:$H9964,AA$7:AA$9964)</f>
        <v/>
      </c>
      <c r="AB6" s="17">
        <f>SUMPRODUCT($G7:$G9964,$H7:$H9964,AB$7:AB$9964)</f>
        <v/>
      </c>
      <c r="AC6" s="17">
        <f>SUMPRODUCT($G7:$G9964,$H7:$H9964,AC$7:AC$9964)</f>
        <v/>
      </c>
      <c r="AD6" s="17">
        <f>SUMPRODUCT($G7:$G9964,$H7:$H9964,AD$7:AD$9964)</f>
        <v/>
      </c>
      <c r="AE6" s="17">
        <f>SUMPRODUCT($G7:$G9964,$H7:$H9964,AE$7:AE$9964)</f>
        <v/>
      </c>
      <c r="AF6" s="17">
        <f>SUMPRODUCT($G7:$G9964,$H7:$H9964,AF$7:AF$9964)</f>
        <v/>
      </c>
      <c r="AG6" s="17">
        <f>SUMPRODUCT($G7:$G9964,$H7:$H9964,AG$7:AG$9964)</f>
        <v/>
      </c>
      <c r="AH6" s="17">
        <f>SUMPRODUCT($G7:$G9964,$H7:$H9964,AH$7:AH$9964)</f>
        <v/>
      </c>
      <c r="AI6" s="17">
        <f>SUMPRODUCT($G7:$G9964,$H7:$H9964,AI$7:AI$9964)</f>
        <v/>
      </c>
      <c r="AJ6" s="17">
        <f>SUMPRODUCT($G7:$G9964,$H7:$H9964,AJ$7:AJ$9964)</f>
        <v/>
      </c>
      <c r="AK6" s="17">
        <f>SUMPRODUCT($G7:$G9964,$H7:$H9964,AK$7:AK$9964)</f>
        <v/>
      </c>
      <c r="AL6" s="17">
        <f>SUMPRODUCT($G7:$G9964,$H7:$H9964,AL$7:AL$9964)</f>
        <v/>
      </c>
      <c r="AM6" s="17">
        <f>SUMPRODUCT($G7:$G9964,$H7:$H9964,AM$7:AM$9964)</f>
        <v/>
      </c>
      <c r="AN6" s="17">
        <f>SUMPRODUCT($G7:$G9964,$H7:$H9964,AN$7:AN$9964)</f>
        <v/>
      </c>
      <c r="AO6" s="17">
        <f>SUMPRODUCT($G7:$G9964,$H7:$H9964,AO$7:AO$9964)</f>
        <v/>
      </c>
      <c r="AP6" s="17">
        <f>SUMPRODUCT($G7:$G9964,$H7:$H9964,AP$7:AP$9964)</f>
        <v/>
      </c>
      <c r="AQ6" s="17">
        <f>SUMPRODUCT($G7:$G9964,$H7:$H9964,AQ$7:AQ$9964)</f>
        <v/>
      </c>
      <c r="AR6" s="17">
        <f>SUMPRODUCT($G7:$G9964,$H7:$H9964,AR$7:AR$9964)</f>
        <v/>
      </c>
      <c r="AS6" s="17">
        <f>SUMPRODUCT($G7:$G9964,$H7:$H9964,AS$7:AS$9964)</f>
        <v/>
      </c>
      <c r="AT6" s="17">
        <f>SUMPRODUCT($G7:$G9964,$H7:$H9964,AT$7:AT$9964)</f>
        <v/>
      </c>
      <c r="AU6" s="17">
        <f>SUMPRODUCT($G7:$G9964,$H7:$H9964,AU$7:AU$9964)</f>
        <v/>
      </c>
      <c r="AV6" s="17">
        <f>SUMPRODUCT($G7:$G9964,$H7:$H9964,AV$7:AV$9964)</f>
        <v/>
      </c>
      <c r="AW6" s="17">
        <f>SUMPRODUCT($G7:$G9964,$H7:$H9964,AW$7:AW$9964)</f>
        <v/>
      </c>
      <c r="AX6" s="17">
        <f>SUMPRODUCT($G7:$G9964,$H7:$H9964,AX$7:AX$9964)</f>
        <v/>
      </c>
      <c r="AY6" s="17">
        <f>SUMPRODUCT($G7:$G9964,$H7:$H9964,AY$7:AY$9964)</f>
        <v/>
      </c>
      <c r="AZ6" s="17">
        <f>SUMPRODUCT($G7:$G9964,$H7:$H9964,AZ$7:AZ$9964)</f>
        <v/>
      </c>
      <c r="BA6" s="17">
        <f>SUMPRODUCT($G7:$G9964,$H7:$H9964,BA$7:BA$9964)</f>
        <v/>
      </c>
      <c r="BB6" s="17">
        <f>SUMPRODUCT($G7:$G9964,$H7:$H9964,BB$7:BB$9964)</f>
        <v/>
      </c>
      <c r="BC6" s="17">
        <f>SUMPRODUCT($G7:$G9964,$H7:$H9964,BC$7:BC$9964)</f>
        <v/>
      </c>
      <c r="BD6" s="17">
        <f>SUMPRODUCT($G7:$G9964,$H7:$H9964,BD$7:BD$9964)</f>
        <v/>
      </c>
      <c r="BE6" s="17">
        <f>SUMPRODUCT($G7:$G9964,$H7:$H9964,BE$7:BE$9964)</f>
        <v/>
      </c>
      <c r="BF6" s="17">
        <f>SUMPRODUCT($G7:$G9964,$H7:$H9964,BF$7:BF$9964)</f>
        <v/>
      </c>
      <c r="BG6" s="17">
        <f>SUMPRODUCT($G7:$G9964,$H7:$H9964,BG$7:BG$9964)</f>
        <v/>
      </c>
      <c r="BH6" s="17">
        <f>SUMPRODUCT($G7:$G9964,$H7:$H9964,BH$7:BH$9964)</f>
        <v/>
      </c>
      <c r="BI6" s="17">
        <f>SUMPRODUCT($G7:$G9964,$H7:$H9964,BI$7:BI$9964)</f>
        <v/>
      </c>
      <c r="BJ6" s="17">
        <f>SUMPRODUCT($G7:$G9964,$H7:$H9964,BJ$7:BJ$9964)</f>
        <v/>
      </c>
      <c r="BK6" s="17">
        <f>SUMPRODUCT($G7:$G9964,$H7:$H9964,BK$7:BK$9964)</f>
        <v/>
      </c>
      <c r="BL6" s="17">
        <f>SUMPRODUCT($G7:$G9964,$H7:$H9964,BL$7:BL$9964)</f>
        <v/>
      </c>
      <c r="BM6" s="17">
        <f>SUMPRODUCT($G7:$G9964,$H7:$H9964,BM$7:BM$9964)</f>
        <v/>
      </c>
      <c r="BN6" s="17">
        <f>SUMPRODUCT($G7:$G9964,$H7:$H9964,BN$7:BN$9964)</f>
        <v/>
      </c>
      <c r="BO6" s="17">
        <f>SUMPRODUCT($G7:$G9964,$H7:$H9964,BO$7:BO$9964)</f>
        <v/>
      </c>
      <c r="BP6" s="17">
        <f>SUMPRODUCT($G7:$G9964,$H7:$H9964,BP$7:BP$9964)</f>
        <v/>
      </c>
      <c r="BQ6" s="17">
        <f>SUMPRODUCT($G7:$G9964,$H7:$H9964,BQ$7:BQ$9964)</f>
        <v/>
      </c>
    </row>
    <row r="7" ht="15.5" customFormat="1" customHeight="1" s="2">
      <c r="A7" s="19" t="inlineStr">
        <is>
          <t>1.7.02.103</t>
        </is>
      </c>
      <c r="B7" s="19" t="inlineStr">
        <is>
          <t>PI2603SOT002</t>
        </is>
      </c>
      <c r="C7" s="19" t="n"/>
      <c r="D7" s="50" t="inlineStr">
        <is>
          <t>WO-ZZ00020312</t>
        </is>
      </c>
      <c r="E7" s="21" t="inlineStr">
        <is>
          <t>SOT成人拉拉裤M码（1M16片4包）</t>
        </is>
      </c>
      <c r="F7" t="inlineStr">
        <is>
          <t>M</t>
        </is>
      </c>
      <c r="G7" s="19" t="n">
        <v>16</v>
      </c>
      <c r="H7" s="19" t="n">
        <v>4</v>
      </c>
      <c r="I7" s="116" t="n">
        <v>46095</v>
      </c>
      <c r="J7" s="116" t="n">
        <v>46142</v>
      </c>
      <c r="K7" s="19" t="n">
        <v>2345</v>
      </c>
      <c r="L7" s="19">
        <f>F6*G6*J6</f>
        <v/>
      </c>
      <c r="M7" s="19" t="n">
        <v>0</v>
      </c>
      <c r="N7" s="24" t="n">
        <v>1841</v>
      </c>
      <c r="O7" s="24" t="n">
        <v>504</v>
      </c>
      <c r="P7" s="24" t="n"/>
      <c r="Q7" s="24" t="n"/>
      <c r="R7" s="24" t="n"/>
      <c r="S7" s="24" t="n"/>
      <c r="T7" s="24" t="n"/>
      <c r="U7" s="24" t="n"/>
      <c r="V7" s="24" t="n"/>
      <c r="W7" s="24" t="n"/>
      <c r="X7" s="24" t="n"/>
      <c r="Y7" s="24" t="n"/>
      <c r="Z7" s="24" t="n"/>
      <c r="AA7" s="24" t="n"/>
      <c r="AB7" s="24" t="n"/>
      <c r="AC7" s="24" t="n"/>
      <c r="AD7" s="24" t="n"/>
      <c r="AE7" s="24" t="n"/>
      <c r="AF7" s="24" t="n"/>
      <c r="AG7" s="24" t="n"/>
      <c r="AH7" s="24" t="n"/>
      <c r="AI7" s="24" t="n"/>
      <c r="AJ7" s="24" t="n"/>
      <c r="AK7" s="24" t="n"/>
      <c r="AL7" s="24" t="n"/>
      <c r="AM7" s="24" t="n"/>
      <c r="AN7" s="24" t="n"/>
      <c r="AO7" s="24" t="n"/>
      <c r="AP7" s="24" t="n"/>
      <c r="AQ7" s="24" t="n"/>
      <c r="AR7" s="24" t="n"/>
      <c r="AS7" s="24" t="n"/>
      <c r="AT7" s="24" t="n"/>
      <c r="AU7" s="24" t="n"/>
      <c r="AV7" s="24" t="n"/>
      <c r="AW7" s="24" t="n"/>
      <c r="AX7" s="24" t="n"/>
      <c r="AY7" s="24" t="n"/>
      <c r="AZ7" s="24" t="n"/>
      <c r="BA7" s="24" t="n"/>
      <c r="BB7" s="24" t="n"/>
      <c r="BC7" s="24" t="n"/>
      <c r="BD7" s="24" t="n"/>
      <c r="BE7" s="24" t="n"/>
      <c r="BF7" s="24" t="n"/>
      <c r="BG7" s="24" t="n"/>
      <c r="BH7" s="24" t="n"/>
      <c r="BI7" s="24" t="n"/>
      <c r="BJ7" s="24" t="n"/>
      <c r="BK7" s="24" t="n"/>
      <c r="BL7" s="24" t="n"/>
      <c r="BM7" s="24" t="n"/>
      <c r="BN7" s="24" t="n"/>
      <c r="BO7" s="24" t="n"/>
      <c r="BP7" s="24" t="n"/>
      <c r="BQ7" s="24" t="n"/>
    </row>
    <row r="8" ht="15.5" customHeight="1" s="91">
      <c r="A8" s="19" t="inlineStr">
        <is>
          <t>1.7.02.082</t>
        </is>
      </c>
      <c r="B8" s="19" t="inlineStr">
        <is>
          <t>KJ-20260310-PREDICT</t>
        </is>
      </c>
      <c r="C8" s="19" t="n"/>
      <c r="D8" s="19" t="inlineStr">
        <is>
          <t>WO-ZZ00020230</t>
        </is>
      </c>
      <c r="E8" s="21" t="inlineStr">
        <is>
          <t>SUNKISS女士基础款成人拉拉裤M码 （32片*4包）</t>
        </is>
      </c>
      <c r="F8" t="inlineStr">
        <is>
          <t>M</t>
        </is>
      </c>
      <c r="G8" s="19" t="n">
        <v>32</v>
      </c>
      <c r="H8" s="19" t="n">
        <v>4</v>
      </c>
      <c r="I8" s="116" t="n">
        <v>46091</v>
      </c>
      <c r="J8" s="116" t="n">
        <v>46147</v>
      </c>
      <c r="K8" s="19" t="n">
        <v>300</v>
      </c>
      <c r="L8" s="25">
        <f>F7*G7*J7</f>
        <v/>
      </c>
      <c r="M8" s="19" t="n">
        <v>0</v>
      </c>
      <c r="N8" s="24" t="n"/>
      <c r="O8" s="24" t="n"/>
      <c r="P8" s="24" t="n"/>
      <c r="Q8" s="24" t="n"/>
      <c r="R8" s="24" t="n"/>
      <c r="S8" s="24" t="n"/>
      <c r="T8" s="24" t="n">
        <v>300</v>
      </c>
      <c r="U8" s="24" t="n"/>
      <c r="V8" s="24" t="n"/>
      <c r="W8" s="24" t="n"/>
      <c r="X8" s="24" t="n"/>
      <c r="Y8" s="24" t="n"/>
      <c r="Z8" s="24" t="n"/>
      <c r="AA8" s="24" t="n"/>
      <c r="AB8" s="24" t="n"/>
      <c r="AC8" s="24" t="n"/>
      <c r="AD8" s="24" t="n"/>
      <c r="AE8" s="24" t="n"/>
      <c r="AF8" s="24" t="n"/>
      <c r="AG8" s="24" t="n"/>
      <c r="AH8" s="24" t="n"/>
      <c r="AI8" s="24" t="n"/>
      <c r="AJ8" s="24" t="n"/>
      <c r="AK8" s="24" t="n"/>
      <c r="AL8" s="24" t="n"/>
      <c r="AM8" s="24" t="n"/>
      <c r="AN8" s="24" t="n"/>
      <c r="AO8" s="24" t="n"/>
      <c r="AP8" s="24" t="n"/>
      <c r="AQ8" s="24" t="n"/>
      <c r="AR8" s="24" t="n"/>
      <c r="AS8" s="24" t="n"/>
      <c r="AT8" s="24" t="n"/>
      <c r="AU8" s="24" t="n"/>
      <c r="AV8" s="24" t="n"/>
      <c r="AW8" s="24" t="n"/>
      <c r="AX8" s="24" t="n"/>
      <c r="AY8" s="24" t="n"/>
      <c r="AZ8" s="24" t="n"/>
      <c r="BA8" s="24" t="n"/>
      <c r="BB8" s="24" t="n"/>
      <c r="BC8" s="24" t="n"/>
      <c r="BD8" s="24" t="n"/>
      <c r="BE8" s="24" t="n"/>
      <c r="BF8" s="24" t="n"/>
      <c r="BG8" s="24" t="n"/>
      <c r="BH8" s="24" t="n"/>
      <c r="BI8" s="24" t="n"/>
      <c r="BJ8" s="24" t="n"/>
      <c r="BK8" s="24" t="n"/>
      <c r="BL8" s="24" t="n"/>
      <c r="BM8" s="24" t="n"/>
      <c r="BN8" s="24" t="n"/>
      <c r="BO8" s="24" t="n"/>
      <c r="BP8" s="24" t="n"/>
      <c r="BQ8" s="24" t="n"/>
    </row>
    <row r="9" ht="16" customFormat="1" customHeight="1" s="2">
      <c r="A9" s="19" t="inlineStr">
        <is>
          <t>1.7.06.001</t>
        </is>
      </c>
      <c r="B9" s="19" t="inlineStr">
        <is>
          <t>KJ-20260109-PREDICT</t>
        </is>
      </c>
      <c r="C9" s="19" t="n"/>
      <c r="D9" s="19" t="inlineStr">
        <is>
          <t>WO-ZZ00019757</t>
        </is>
      </c>
      <c r="E9" s="21" t="inlineStr">
        <is>
          <t>SUNKISS男士基础款成人拉拉裤XXL码 （14片*6包）</t>
        </is>
      </c>
      <c r="F9" t="inlineStr">
        <is>
          <t>XXL</t>
        </is>
      </c>
      <c r="G9" s="19" t="n">
        <v>14</v>
      </c>
      <c r="H9" s="19" t="n">
        <v>6</v>
      </c>
      <c r="I9" s="116" t="n">
        <v>6</v>
      </c>
      <c r="J9" s="116" t="n">
        <v>46096</v>
      </c>
      <c r="K9" s="19" t="n">
        <v>450</v>
      </c>
      <c r="L9" s="25">
        <f>F8*G8*J8</f>
        <v/>
      </c>
      <c r="M9" s="25" t="n">
        <v>0</v>
      </c>
      <c r="N9" s="28" t="n"/>
      <c r="O9" s="28" t="n">
        <v>450</v>
      </c>
      <c r="P9" s="28" t="n"/>
      <c r="Q9" s="28" t="n"/>
      <c r="R9" s="28" t="n"/>
      <c r="S9" s="28" t="n"/>
      <c r="T9" s="28" t="n"/>
      <c r="U9" s="28" t="n"/>
      <c r="V9" s="28" t="n"/>
      <c r="W9" s="28" t="n"/>
      <c r="X9" s="28" t="n"/>
      <c r="Y9" s="28" t="n"/>
      <c r="Z9" s="28" t="n"/>
      <c r="AA9" s="28" t="n"/>
      <c r="AB9" s="28" t="n"/>
      <c r="AC9" s="28" t="n"/>
      <c r="AD9" s="28" t="n"/>
      <c r="AE9" s="28" t="n"/>
      <c r="AF9" s="28" t="n"/>
      <c r="AG9" s="28" t="n"/>
      <c r="AH9" s="28" t="n"/>
      <c r="AI9" s="28" t="n"/>
      <c r="AJ9" s="28" t="n"/>
      <c r="AK9" s="28" t="n"/>
      <c r="AL9" s="28" t="n"/>
      <c r="AM9" s="28" t="n"/>
      <c r="AN9" s="28" t="n"/>
      <c r="AO9" s="28" t="n"/>
      <c r="AP9" s="28" t="n"/>
      <c r="AQ9" s="28" t="n"/>
      <c r="AR9" s="28" t="n"/>
      <c r="AS9" s="28" t="n"/>
      <c r="AT9" s="28" t="n"/>
      <c r="AU9" s="28" t="n"/>
      <c r="AV9" s="28" t="n"/>
      <c r="AW9" s="28" t="n"/>
      <c r="AX9" s="28" t="n"/>
      <c r="AY9" s="28" t="n"/>
      <c r="AZ9" s="28" t="n"/>
      <c r="BA9" s="28" t="n"/>
      <c r="BB9" s="28" t="n"/>
      <c r="BC9" s="28" t="n"/>
      <c r="BD9" s="28" t="n"/>
      <c r="BE9" s="28" t="n"/>
      <c r="BF9" s="28" t="n"/>
      <c r="BG9" s="28" t="n"/>
      <c r="BH9" s="28" t="n"/>
      <c r="BI9" s="28" t="n"/>
      <c r="BJ9" s="28" t="n"/>
      <c r="BK9" s="28" t="n"/>
      <c r="BL9" s="28" t="n"/>
      <c r="BM9" s="28" t="n"/>
      <c r="BN9" s="28" t="n"/>
      <c r="BO9" s="28" t="n"/>
      <c r="BP9" s="28" t="n"/>
      <c r="BQ9" s="28" t="n"/>
    </row>
    <row r="10" ht="15.5" customFormat="1" customHeight="1" s="2">
      <c r="A10" s="19" t="inlineStr">
        <is>
          <t>1.7.06.002</t>
        </is>
      </c>
      <c r="B10" s="19" t="inlineStr">
        <is>
          <t>KJ-20260310-PREDICT</t>
        </is>
      </c>
      <c r="C10" s="19" t="n"/>
      <c r="D10" s="19" t="inlineStr">
        <is>
          <t>WO-ZZ00020236</t>
        </is>
      </c>
      <c r="E10" s="21" t="inlineStr">
        <is>
          <t>SUNKISS男士基础款成人拉拉裤XXL码 （32片*4包）</t>
        </is>
      </c>
      <c r="F10" t="inlineStr">
        <is>
          <t>XXL</t>
        </is>
      </c>
      <c r="G10" s="19" t="n">
        <v>32</v>
      </c>
      <c r="H10" s="19" t="n">
        <v>4</v>
      </c>
      <c r="I10" s="116" t="n">
        <v>46091</v>
      </c>
      <c r="J10" s="116" t="n">
        <v>46157</v>
      </c>
      <c r="K10" s="19" t="n">
        <v>750</v>
      </c>
      <c r="L10" s="25">
        <f>F9*G9*J9</f>
        <v/>
      </c>
      <c r="M10" s="19" t="n">
        <v>0</v>
      </c>
      <c r="N10" s="24" t="n"/>
      <c r="O10" s="24" t="n">
        <v>373</v>
      </c>
      <c r="P10" s="24" t="n">
        <v>377</v>
      </c>
      <c r="Q10" s="24" t="n"/>
      <c r="R10" s="24" t="n"/>
      <c r="S10" s="24" t="n"/>
      <c r="T10" s="24" t="n"/>
      <c r="U10" s="24" t="n"/>
      <c r="V10" s="24" t="n"/>
      <c r="W10" s="24" t="n"/>
      <c r="X10" s="24" t="n"/>
      <c r="Y10" s="24" t="n"/>
      <c r="Z10" s="24" t="n"/>
      <c r="AA10" s="24" t="n"/>
      <c r="AB10" s="24" t="n"/>
      <c r="AC10" s="24" t="n"/>
      <c r="AD10" s="24" t="n"/>
      <c r="AE10" s="24" t="n"/>
      <c r="AF10" s="24" t="n"/>
      <c r="AG10" s="24" t="n"/>
      <c r="AH10" s="24" t="n"/>
      <c r="AI10" s="24" t="n"/>
      <c r="AJ10" s="24" t="n"/>
      <c r="AK10" s="24" t="n"/>
      <c r="AL10" s="24" t="n"/>
      <c r="AM10" s="24" t="n"/>
      <c r="AN10" s="24" t="n"/>
      <c r="AO10" s="24" t="n"/>
      <c r="AP10" s="24" t="n"/>
      <c r="AQ10" s="24" t="n"/>
      <c r="AR10" s="24" t="n"/>
      <c r="AS10" s="24" t="n"/>
      <c r="AT10" s="24" t="n"/>
      <c r="AU10" s="24" t="n"/>
      <c r="AV10" s="24" t="n"/>
      <c r="AW10" s="24" t="n"/>
      <c r="AX10" s="24" t="n"/>
      <c r="AY10" s="24" t="n"/>
      <c r="AZ10" s="24" t="n"/>
      <c r="BA10" s="24" t="n"/>
      <c r="BB10" s="24" t="n"/>
      <c r="BC10" s="24" t="n"/>
      <c r="BD10" s="24" t="n"/>
      <c r="BE10" s="24" t="n"/>
      <c r="BF10" s="24" t="n"/>
      <c r="BG10" s="24" t="n"/>
      <c r="BH10" s="24" t="n"/>
      <c r="BI10" s="24" t="n"/>
      <c r="BJ10" s="24" t="n"/>
      <c r="BK10" s="24" t="n"/>
      <c r="BL10" s="24" t="n"/>
      <c r="BM10" s="24" t="n"/>
      <c r="BN10" s="24" t="n"/>
      <c r="BO10" s="24" t="n"/>
      <c r="BP10" s="24" t="n"/>
      <c r="BQ10" s="24" t="n"/>
    </row>
    <row r="11" ht="15.5" customHeight="1" s="91">
      <c r="A11" s="19" t="inlineStr">
        <is>
          <t>1.7.04.035</t>
        </is>
      </c>
      <c r="B11" s="19" t="inlineStr">
        <is>
          <t>KJ-20260310-PREDICT</t>
        </is>
      </c>
      <c r="C11" s="19" t="n"/>
      <c r="D11" s="19" t="inlineStr">
        <is>
          <t>WO-ZZ00020235</t>
        </is>
      </c>
      <c r="E11" s="21" t="inlineStr">
        <is>
          <t>SUNKISS男士基础款成人拉拉裤XL码 （32片*4包）</t>
        </is>
      </c>
      <c r="F11" t="inlineStr">
        <is>
          <t>XL</t>
        </is>
      </c>
      <c r="G11" s="19" t="n">
        <v>32</v>
      </c>
      <c r="H11" s="19" t="n">
        <v>4</v>
      </c>
      <c r="I11" s="116" t="n">
        <v>46091</v>
      </c>
      <c r="J11" s="116" t="n">
        <v>46157</v>
      </c>
      <c r="K11" s="19" t="n">
        <v>450</v>
      </c>
      <c r="L11" s="25">
        <f>F10*G10*J10</f>
        <v/>
      </c>
      <c r="M11" s="19" t="n">
        <v>0</v>
      </c>
      <c r="N11" s="24" t="n"/>
      <c r="O11" s="24" t="n"/>
      <c r="P11" s="24" t="n">
        <v>450</v>
      </c>
      <c r="Q11" s="24" t="n"/>
      <c r="R11" s="24" t="n"/>
      <c r="S11" s="24" t="n"/>
      <c r="T11" s="24" t="n"/>
      <c r="U11" s="24" t="n"/>
      <c r="V11" s="24" t="n"/>
      <c r="W11" s="24" t="n"/>
      <c r="X11" s="24" t="n"/>
      <c r="Y11" s="24" t="n"/>
      <c r="Z11" s="24" t="n"/>
      <c r="AA11" s="24" t="n"/>
      <c r="AB11" s="24" t="n"/>
      <c r="AC11" s="24" t="n"/>
      <c r="AD11" s="24" t="n"/>
      <c r="AE11" s="24" t="n"/>
      <c r="AF11" s="24" t="n"/>
      <c r="AG11" s="24" t="n"/>
      <c r="AH11" s="24" t="n"/>
      <c r="AI11" s="24" t="n"/>
      <c r="AJ11" s="24" t="n"/>
      <c r="AK11" s="24" t="n"/>
      <c r="AL11" s="24" t="n"/>
      <c r="AM11" s="24" t="n"/>
      <c r="AN11" s="24" t="n"/>
      <c r="AO11" s="24" t="n"/>
      <c r="AP11" s="24" t="n"/>
      <c r="AQ11" s="24" t="n"/>
      <c r="AR11" s="24" t="n"/>
      <c r="AS11" s="24" t="n"/>
      <c r="AT11" s="24" t="n"/>
      <c r="AU11" s="24" t="n"/>
      <c r="AV11" s="24" t="n"/>
      <c r="AW11" s="24" t="n"/>
      <c r="AX11" s="24" t="n"/>
      <c r="AY11" s="24" t="n"/>
      <c r="AZ11" s="24" t="n"/>
      <c r="BA11" s="24" t="n"/>
      <c r="BB11" s="24" t="n"/>
      <c r="BC11" s="24" t="n"/>
      <c r="BD11" s="24" t="n"/>
      <c r="BE11" s="24" t="n"/>
      <c r="BF11" s="24" t="n"/>
      <c r="BG11" s="24" t="n"/>
      <c r="BH11" s="24" t="n"/>
      <c r="BI11" s="24" t="n"/>
      <c r="BJ11" s="24" t="n"/>
      <c r="BK11" s="24" t="n"/>
      <c r="BL11" s="24" t="n"/>
      <c r="BM11" s="24" t="n"/>
      <c r="BN11" s="24" t="n"/>
      <c r="BO11" s="24" t="n"/>
      <c r="BP11" s="24" t="n"/>
      <c r="BQ11" s="24" t="n"/>
    </row>
    <row r="12" ht="14" customFormat="1" customHeight="1" s="2">
      <c r="A12" s="19" t="inlineStr">
        <is>
          <t>1.7.03.097</t>
        </is>
      </c>
      <c r="B12" s="19" t="inlineStr">
        <is>
          <t>KJ-20260109-PREDICT</t>
        </is>
      </c>
      <c r="C12" s="19" t="n"/>
      <c r="D12" s="19" t="inlineStr">
        <is>
          <t>WO-ZZ00020375</t>
        </is>
      </c>
      <c r="E12" s="21" t="inlineStr">
        <is>
          <t>SUNKISS男士基础款成人拉拉裤L码 （30片*4包）（整箱）</t>
        </is>
      </c>
      <c r="F12" t="inlineStr">
        <is>
          <t>L</t>
        </is>
      </c>
      <c r="G12" s="19" t="n">
        <v>30</v>
      </c>
      <c r="H12" s="19" t="n">
        <v>4</v>
      </c>
      <c r="I12" s="116" t="n">
        <v>4</v>
      </c>
      <c r="J12" s="116" t="n">
        <v>46096</v>
      </c>
      <c r="K12" s="19" t="n">
        <v>250</v>
      </c>
      <c r="L12" s="25">
        <f>F11*G11*J11</f>
        <v/>
      </c>
      <c r="M12" s="25" t="n">
        <v>0</v>
      </c>
      <c r="N12" s="28" t="n"/>
      <c r="O12" s="28" t="n"/>
      <c r="P12" s="28" t="n">
        <v>100</v>
      </c>
      <c r="Q12" s="28" t="n">
        <v>150</v>
      </c>
      <c r="R12" s="28" t="n"/>
      <c r="S12" s="28" t="n"/>
      <c r="T12" s="28" t="n"/>
      <c r="U12" s="28" t="n"/>
      <c r="V12" s="28" t="n"/>
      <c r="W12" s="28" t="n"/>
      <c r="X12" s="28" t="n"/>
      <c r="Y12" s="28" t="n"/>
      <c r="Z12" s="28" t="n"/>
      <c r="AA12" s="28" t="n"/>
      <c r="AB12" s="28" t="n"/>
      <c r="AC12" s="28" t="n"/>
      <c r="AD12" s="28" t="n"/>
      <c r="AE12" s="28" t="n"/>
      <c r="AF12" s="28" t="n"/>
      <c r="AG12" s="28" t="n"/>
      <c r="AH12" s="28" t="n"/>
      <c r="AI12" s="28" t="n"/>
      <c r="AJ12" s="28" t="n"/>
      <c r="AK12" s="28" t="n"/>
      <c r="AL12" s="28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8" t="n"/>
      <c r="BA12" s="28" t="n"/>
      <c r="BB12" s="28" t="n"/>
      <c r="BC12" s="28" t="n"/>
      <c r="BD12" s="28" t="n"/>
      <c r="BE12" s="28" t="n"/>
      <c r="BF12" s="28" t="n"/>
      <c r="BG12" s="28" t="n"/>
      <c r="BH12" s="28" t="n"/>
      <c r="BI12" s="28" t="n"/>
      <c r="BJ12" s="28" t="n"/>
      <c r="BK12" s="28" t="n"/>
      <c r="BL12" s="28" t="n"/>
      <c r="BM12" s="28" t="n"/>
      <c r="BN12" s="28" t="n"/>
      <c r="BO12" s="28" t="n"/>
      <c r="BP12" s="28" t="n"/>
      <c r="BQ12" s="28" t="n"/>
    </row>
    <row r="13" ht="15.5" customFormat="1" customHeight="1" s="2">
      <c r="A13" s="19" t="inlineStr">
        <is>
          <t>1.7.03.097</t>
        </is>
      </c>
      <c r="B13" s="19" t="inlineStr">
        <is>
          <t>KJ-20260310-PREDICT</t>
        </is>
      </c>
      <c r="C13" s="19" t="n"/>
      <c r="D13" s="19" t="inlineStr">
        <is>
          <t>WO-ZZ00020237</t>
        </is>
      </c>
      <c r="E13" s="21" t="inlineStr">
        <is>
          <t>SUNKISS男士基础款成人拉拉裤L码 （30片*4包）（整箱）</t>
        </is>
      </c>
      <c r="F13" t="inlineStr">
        <is>
          <t>L</t>
        </is>
      </c>
      <c r="G13" s="19" t="n">
        <v>30</v>
      </c>
      <c r="H13" s="19" t="n">
        <v>4</v>
      </c>
      <c r="I13" s="116" t="n">
        <v>46091</v>
      </c>
      <c r="J13" s="116" t="n">
        <v>46157</v>
      </c>
      <c r="K13" s="19" t="n">
        <v>350</v>
      </c>
      <c r="L13" s="25">
        <f>F12*G12*J12</f>
        <v/>
      </c>
      <c r="M13" s="19" t="n">
        <v>0</v>
      </c>
      <c r="N13" s="24" t="n"/>
      <c r="O13" s="24" t="n"/>
      <c r="P13" s="24" t="n"/>
      <c r="Q13" s="24" t="n">
        <v>350</v>
      </c>
      <c r="R13" s="24" t="n"/>
      <c r="S13" s="24" t="n"/>
      <c r="T13" s="24" t="n"/>
      <c r="U13" s="24" t="n"/>
      <c r="V13" s="24" t="n"/>
      <c r="W13" s="24" t="n"/>
      <c r="X13" s="24" t="n"/>
      <c r="Y13" s="24" t="n"/>
      <c r="Z13" s="24" t="n"/>
      <c r="AA13" s="24" t="n"/>
      <c r="AB13" s="24" t="n"/>
      <c r="AC13" s="24" t="n"/>
      <c r="AD13" s="24" t="n"/>
      <c r="AE13" s="24" t="n"/>
      <c r="AF13" s="24" t="n"/>
      <c r="AG13" s="24" t="n"/>
      <c r="AH13" s="24" t="n"/>
      <c r="AI13" s="24" t="n"/>
      <c r="AJ13" s="24" t="n"/>
      <c r="AK13" s="24" t="n"/>
      <c r="AL13" s="24" t="n"/>
      <c r="AM13" s="24" t="n"/>
      <c r="AN13" s="24" t="n"/>
      <c r="AO13" s="24" t="n"/>
      <c r="AP13" s="24" t="n"/>
      <c r="AQ13" s="24" t="n"/>
      <c r="AR13" s="24" t="n"/>
      <c r="AS13" s="24" t="n"/>
      <c r="AT13" s="24" t="n"/>
      <c r="AU13" s="24" t="n"/>
      <c r="AV13" s="24" t="n"/>
      <c r="AW13" s="24" t="n"/>
      <c r="AX13" s="24" t="n"/>
      <c r="AY13" s="24" t="n"/>
      <c r="AZ13" s="24" t="n"/>
      <c r="BA13" s="24" t="n"/>
      <c r="BB13" s="24" t="n"/>
      <c r="BC13" s="24" t="n"/>
      <c r="BD13" s="24" t="n"/>
      <c r="BE13" s="24" t="n"/>
      <c r="BF13" s="24" t="n"/>
      <c r="BG13" s="24" t="n"/>
      <c r="BH13" s="24" t="n"/>
      <c r="BI13" s="24" t="n"/>
      <c r="BJ13" s="24" t="n"/>
      <c r="BK13" s="24" t="n"/>
      <c r="BL13" s="24" t="n"/>
      <c r="BM13" s="24" t="n"/>
      <c r="BN13" s="24" t="n"/>
      <c r="BO13" s="24" t="n"/>
      <c r="BP13" s="24" t="n"/>
      <c r="BQ13" s="24" t="n"/>
    </row>
    <row r="14" ht="15.5" customFormat="1" customHeight="1" s="2">
      <c r="A14" s="19" t="inlineStr">
        <is>
          <t>1.7.03.088</t>
        </is>
      </c>
      <c r="B14" s="19" t="inlineStr">
        <is>
          <t>KJ-20260310-PREDICT</t>
        </is>
      </c>
      <c r="C14" s="19" t="n"/>
      <c r="D14" s="19" t="inlineStr">
        <is>
          <t>WO-ZZ00020234</t>
        </is>
      </c>
      <c r="E14" s="21" t="inlineStr">
        <is>
          <t>SUNKISS男士基础款成人拉拉裤L码 （30片*4包）</t>
        </is>
      </c>
      <c r="F14" t="inlineStr">
        <is>
          <t>L</t>
        </is>
      </c>
      <c r="G14" s="19" t="n">
        <v>30</v>
      </c>
      <c r="H14" s="19" t="n">
        <v>4</v>
      </c>
      <c r="I14" s="116" t="n">
        <v>46091</v>
      </c>
      <c r="J14" s="116" t="n">
        <v>46157</v>
      </c>
      <c r="K14" s="19" t="n">
        <v>900</v>
      </c>
      <c r="L14" s="25">
        <f>F13*G13*J13</f>
        <v/>
      </c>
      <c r="M14" s="19" t="n">
        <v>0</v>
      </c>
      <c r="N14" s="24" t="n"/>
      <c r="O14" s="24" t="n"/>
      <c r="P14" s="24" t="n"/>
      <c r="Q14" s="24" t="n">
        <v>482</v>
      </c>
      <c r="R14" s="24" t="n"/>
      <c r="S14" s="24" t="n">
        <v>418</v>
      </c>
      <c r="T14" s="24" t="n"/>
      <c r="U14" s="24" t="n"/>
      <c r="V14" s="24" t="n"/>
      <c r="W14" s="24" t="n"/>
      <c r="X14" s="24" t="n"/>
      <c r="Y14" s="24" t="n"/>
      <c r="Z14" s="24" t="n"/>
      <c r="AA14" s="24" t="n"/>
      <c r="AB14" s="24" t="n"/>
      <c r="AC14" s="24" t="n"/>
      <c r="AD14" s="24" t="n"/>
      <c r="AE14" s="24" t="n"/>
      <c r="AF14" s="24" t="n"/>
      <c r="AG14" s="24" t="n"/>
      <c r="AH14" s="24" t="n"/>
      <c r="AI14" s="24" t="n"/>
      <c r="AJ14" s="24" t="n"/>
      <c r="AK14" s="24" t="n"/>
      <c r="AL14" s="24" t="n"/>
      <c r="AM14" s="24" t="n"/>
      <c r="AN14" s="24" t="n"/>
      <c r="AO14" s="24" t="n"/>
      <c r="AP14" s="24" t="n"/>
      <c r="AQ14" s="24" t="n"/>
      <c r="AR14" s="24" t="n"/>
      <c r="AS14" s="24" t="n"/>
      <c r="AT14" s="24" t="n"/>
      <c r="AU14" s="24" t="n"/>
      <c r="AV14" s="24" t="n"/>
      <c r="AW14" s="24" t="n"/>
      <c r="AX14" s="24" t="n"/>
      <c r="AY14" s="24" t="n"/>
      <c r="AZ14" s="24" t="n"/>
      <c r="BA14" s="24" t="n"/>
      <c r="BB14" s="24" t="n"/>
      <c r="BC14" s="24" t="n"/>
      <c r="BD14" s="24" t="n"/>
      <c r="BE14" s="24" t="n"/>
      <c r="BF14" s="24" t="n"/>
      <c r="BG14" s="24" t="n"/>
      <c r="BH14" s="24" t="n"/>
      <c r="BI14" s="24" t="n"/>
      <c r="BJ14" s="24" t="n"/>
      <c r="BK14" s="24" t="n"/>
      <c r="BL14" s="24" t="n"/>
      <c r="BM14" s="24" t="n"/>
      <c r="BN14" s="24" t="n"/>
      <c r="BO14" s="24" t="n"/>
      <c r="BP14" s="24" t="n"/>
      <c r="BQ14" s="24" t="n"/>
    </row>
    <row r="15" ht="17.5" customHeight="1" s="91">
      <c r="A15" s="19" t="inlineStr">
        <is>
          <t>1.7.02.077</t>
        </is>
      </c>
      <c r="B15" s="19" t="inlineStr">
        <is>
          <t>KJ-20260310-PREDICT</t>
        </is>
      </c>
      <c r="C15" s="19" t="n"/>
      <c r="D15" s="19" t="inlineStr">
        <is>
          <t>WO-ZZ00020233</t>
        </is>
      </c>
      <c r="E15" s="21" t="inlineStr">
        <is>
          <t>SUNKISS男士基础款成人拉拉裤M码 （30片*4包）</t>
        </is>
      </c>
      <c r="F15" t="inlineStr">
        <is>
          <t>M</t>
        </is>
      </c>
      <c r="G15" s="19" t="n">
        <v>30</v>
      </c>
      <c r="H15" s="19" t="n">
        <v>4</v>
      </c>
      <c r="I15" s="116" t="n">
        <v>46091</v>
      </c>
      <c r="J15" s="116" t="n">
        <v>46157</v>
      </c>
      <c r="K15" s="19" t="n">
        <v>800</v>
      </c>
      <c r="L15" s="25">
        <f>F14*G14*J14</f>
        <v/>
      </c>
      <c r="M15" s="19" t="n">
        <v>0</v>
      </c>
      <c r="N15" s="24" t="n"/>
      <c r="O15" s="24" t="n"/>
      <c r="P15" s="24" t="n"/>
      <c r="Q15" s="24" t="n"/>
      <c r="R15" s="24" t="n"/>
      <c r="S15" s="24" t="n">
        <v>564</v>
      </c>
      <c r="T15" s="24" t="n">
        <v>236</v>
      </c>
      <c r="U15" s="24" t="n"/>
      <c r="V15" s="24" t="n"/>
      <c r="W15" s="24" t="n"/>
      <c r="X15" s="24" t="n"/>
      <c r="Y15" s="24" t="n"/>
      <c r="Z15" s="24" t="n"/>
      <c r="AA15" s="24" t="n"/>
      <c r="AB15" s="24" t="n"/>
      <c r="AC15" s="24" t="n"/>
      <c r="AD15" s="24" t="n"/>
      <c r="AE15" s="24" t="n"/>
      <c r="AF15" s="24" t="n"/>
      <c r="AG15" s="24" t="n"/>
      <c r="AH15" s="24" t="n"/>
      <c r="AI15" s="24" t="n"/>
      <c r="AJ15" s="24" t="n"/>
      <c r="AK15" s="24" t="n"/>
      <c r="AL15" s="24" t="n"/>
      <c r="AM15" s="24" t="n"/>
      <c r="AN15" s="24" t="n"/>
      <c r="AO15" s="24" t="n"/>
      <c r="AP15" s="24" t="n"/>
      <c r="AQ15" s="24" t="n"/>
      <c r="AR15" s="24" t="n"/>
      <c r="AS15" s="24" t="n"/>
      <c r="AT15" s="24" t="n"/>
      <c r="AU15" s="24" t="n"/>
      <c r="AV15" s="24" t="n"/>
      <c r="AW15" s="24" t="n"/>
      <c r="AX15" s="24" t="n"/>
      <c r="AY15" s="24" t="n"/>
      <c r="AZ15" s="24" t="n"/>
      <c r="BA15" s="24" t="n"/>
      <c r="BB15" s="24" t="n"/>
      <c r="BC15" s="24" t="n"/>
      <c r="BD15" s="24" t="n"/>
      <c r="BE15" s="24" t="n"/>
      <c r="BF15" s="24" t="n"/>
      <c r="BG15" s="24" t="n"/>
      <c r="BH15" s="24" t="n"/>
      <c r="BI15" s="24" t="n"/>
      <c r="BJ15" s="24" t="n"/>
      <c r="BK15" s="24" t="n"/>
      <c r="BL15" s="24" t="n"/>
      <c r="BM15" s="24" t="n"/>
      <c r="BN15" s="24" t="n"/>
      <c r="BO15" s="24" t="n"/>
      <c r="BP15" s="24" t="n"/>
      <c r="BQ15" s="24" t="n"/>
    </row>
    <row r="16" ht="17.5" customHeight="1" s="91">
      <c r="A16" s="32" t="inlineStr">
        <is>
          <t>1.7.04.009</t>
        </is>
      </c>
      <c r="B16" s="32" t="inlineStr">
        <is>
          <t>KJ-20260410-PREDICT</t>
        </is>
      </c>
      <c r="C16" s="32" t="n"/>
      <c r="D16" s="32" t="inlineStr">
        <is>
          <t>WO-ZZ00020545</t>
        </is>
      </c>
      <c r="E16" s="33" t="inlineStr">
        <is>
          <t>SUNKISS夜用系列成人拉拉裤XL码(16片*4包)</t>
        </is>
      </c>
      <c r="F16" t="inlineStr">
        <is>
          <t>XL</t>
        </is>
      </c>
      <c r="G16" s="32" t="n">
        <v>16</v>
      </c>
      <c r="H16" s="32" t="n">
        <v>4</v>
      </c>
      <c r="I16" s="119" t="n">
        <v>46122</v>
      </c>
      <c r="J16" s="119" t="n">
        <v>46157</v>
      </c>
      <c r="K16" s="32" t="n">
        <v>750</v>
      </c>
      <c r="L16" s="32">
        <f>F15*G15*J15</f>
        <v/>
      </c>
      <c r="M16" s="32" t="n">
        <v>0</v>
      </c>
      <c r="N16" s="28" t="n"/>
      <c r="O16" s="28" t="n"/>
      <c r="P16" s="28" t="n"/>
      <c r="Q16" s="28" t="n"/>
      <c r="R16" s="28" t="n"/>
      <c r="S16" s="28" t="n"/>
      <c r="T16" s="28" t="n">
        <v>750</v>
      </c>
      <c r="U16" s="28" t="n"/>
      <c r="V16" s="28" t="n"/>
      <c r="W16" s="28" t="n"/>
      <c r="X16" s="28" t="n"/>
      <c r="Y16" s="28" t="n"/>
      <c r="Z16" s="28" t="n"/>
      <c r="AA16" s="28" t="n"/>
      <c r="AB16" s="28" t="n"/>
      <c r="AC16" s="28" t="n"/>
      <c r="AD16" s="28" t="n"/>
      <c r="AE16" s="28" t="n"/>
      <c r="AF16" s="28" t="n"/>
      <c r="AG16" s="28" t="n"/>
      <c r="AH16" s="28" t="n"/>
      <c r="AI16" s="28" t="n"/>
      <c r="AJ16" s="28" t="n"/>
      <c r="AK16" s="28" t="n"/>
      <c r="AL16" s="28" t="n"/>
      <c r="AM16" s="28" t="n"/>
      <c r="AN16" s="28" t="n"/>
      <c r="AO16" s="28" t="n"/>
      <c r="AP16" s="28" t="n"/>
      <c r="AQ16" s="28" t="n"/>
      <c r="AR16" s="28" t="n"/>
      <c r="AS16" s="28" t="n"/>
      <c r="AT16" s="28" t="n"/>
      <c r="AU16" s="28" t="n"/>
      <c r="AV16" s="28" t="n"/>
      <c r="AW16" s="28" t="n"/>
      <c r="AX16" s="28" t="n"/>
      <c r="AY16" s="28" t="n"/>
      <c r="AZ16" s="28" t="n"/>
      <c r="BA16" s="28" t="n"/>
      <c r="BB16" s="28" t="n"/>
      <c r="BC16" s="28" t="n"/>
      <c r="BD16" s="28" t="n"/>
      <c r="BE16" s="28" t="n"/>
      <c r="BF16" s="28" t="n"/>
      <c r="BG16" s="28" t="n"/>
      <c r="BH16" s="28" t="n"/>
      <c r="BI16" s="28" t="n"/>
      <c r="BJ16" s="28" t="n"/>
      <c r="BK16" s="28" t="n"/>
      <c r="BL16" s="28" t="n"/>
      <c r="BM16" s="28" t="n"/>
      <c r="BN16" s="28" t="n"/>
      <c r="BO16" s="28" t="n"/>
      <c r="BP16" s="28" t="n"/>
      <c r="BQ16" s="28" t="n"/>
    </row>
    <row r="17" ht="17.5" customHeight="1" s="91">
      <c r="A17" s="32" t="inlineStr">
        <is>
          <t>1.1.03.330</t>
        </is>
      </c>
      <c r="B17" s="32" t="inlineStr">
        <is>
          <t>KJ-20260410-PREDICT</t>
        </is>
      </c>
      <c r="C17" s="32" t="n"/>
      <c r="D17" s="32" t="inlineStr">
        <is>
          <t>WO-ZZ00020546</t>
        </is>
      </c>
      <c r="E17" s="33" t="inlineStr">
        <is>
          <t>SUNKISS夜用系列成人拉拉裤XL码(16片*4包)B(整箱)</t>
        </is>
      </c>
      <c r="F17" t="inlineStr">
        <is>
          <t>XL</t>
        </is>
      </c>
      <c r="G17" s="32" t="n">
        <v>16</v>
      </c>
      <c r="H17" s="32" t="n">
        <v>4</v>
      </c>
      <c r="I17" s="119" t="n">
        <v>46122</v>
      </c>
      <c r="J17" s="119" t="n">
        <v>46157</v>
      </c>
      <c r="K17" s="32" t="n">
        <v>700</v>
      </c>
      <c r="L17" s="32">
        <f>F16*G16*J16</f>
        <v/>
      </c>
      <c r="M17" s="32" t="n">
        <v>0</v>
      </c>
      <c r="N17" s="28" t="n"/>
      <c r="O17" s="28" t="n"/>
      <c r="P17" s="28" t="n"/>
      <c r="Q17" s="28" t="n"/>
      <c r="R17" s="28" t="n"/>
      <c r="S17" s="28" t="n"/>
      <c r="T17" s="28" t="n">
        <v>48</v>
      </c>
      <c r="U17" s="28" t="n">
        <v>652</v>
      </c>
      <c r="V17" s="28" t="n"/>
      <c r="W17" s="28" t="n"/>
      <c r="X17" s="28" t="n"/>
      <c r="Y17" s="28" t="n"/>
      <c r="Z17" s="28" t="n"/>
      <c r="AA17" s="28" t="n"/>
      <c r="AB17" s="28" t="n"/>
      <c r="AC17" s="28" t="n"/>
      <c r="AD17" s="28" t="n"/>
      <c r="AE17" s="28" t="n"/>
      <c r="AF17" s="28" t="n"/>
      <c r="AG17" s="28" t="n"/>
      <c r="AH17" s="28" t="n"/>
      <c r="AI17" s="28" t="n"/>
      <c r="AJ17" s="28" t="n"/>
      <c r="AK17" s="28" t="n"/>
      <c r="AL17" s="28" t="n"/>
      <c r="AM17" s="28" t="n"/>
      <c r="AN17" s="28" t="n"/>
      <c r="AO17" s="28" t="n"/>
      <c r="AP17" s="28" t="n"/>
      <c r="AQ17" s="28" t="n"/>
      <c r="AR17" s="28" t="n"/>
      <c r="AS17" s="28" t="n"/>
      <c r="AT17" s="28" t="n"/>
      <c r="AU17" s="28" t="n"/>
      <c r="AV17" s="28" t="n"/>
      <c r="AW17" s="28" t="n"/>
      <c r="AX17" s="28" t="n"/>
      <c r="AY17" s="28" t="n"/>
      <c r="AZ17" s="28" t="n"/>
      <c r="BA17" s="28" t="n"/>
      <c r="BB17" s="28" t="n"/>
      <c r="BC17" s="28" t="n"/>
      <c r="BD17" s="28" t="n"/>
      <c r="BE17" s="28" t="n"/>
      <c r="BF17" s="28" t="n"/>
      <c r="BG17" s="28" t="n"/>
      <c r="BH17" s="28" t="n"/>
      <c r="BI17" s="28" t="n"/>
      <c r="BJ17" s="28" t="n"/>
      <c r="BK17" s="28" t="n"/>
      <c r="BL17" s="28" t="n"/>
      <c r="BM17" s="28" t="n"/>
      <c r="BN17" s="28" t="n"/>
      <c r="BO17" s="28" t="n"/>
      <c r="BP17" s="28" t="n"/>
      <c r="BQ17" s="28" t="n"/>
    </row>
    <row r="18" ht="17.5" customHeight="1" s="91">
      <c r="A18" s="32" t="inlineStr">
        <is>
          <t>1.7.04.008</t>
        </is>
      </c>
      <c r="B18" s="32" t="inlineStr">
        <is>
          <t>KJ-20260410-PREDICT</t>
        </is>
      </c>
      <c r="C18" s="32" t="n"/>
      <c r="D18" s="32" t="inlineStr">
        <is>
          <t>WO-ZZ00020547</t>
        </is>
      </c>
      <c r="E18" s="33" t="inlineStr">
        <is>
          <t>SUNKISS成人拉拉裤XL码(16片*4包)</t>
        </is>
      </c>
      <c r="F18" t="inlineStr">
        <is>
          <t>XL</t>
        </is>
      </c>
      <c r="G18" s="32" t="n">
        <v>16</v>
      </c>
      <c r="H18" s="32" t="n">
        <v>4</v>
      </c>
      <c r="I18" s="119" t="n">
        <v>46122</v>
      </c>
      <c r="J18" s="119" t="n">
        <v>46162</v>
      </c>
      <c r="K18" s="32" t="n">
        <v>700</v>
      </c>
      <c r="L18" s="32">
        <f>F17*G17*J17</f>
        <v/>
      </c>
      <c r="M18" s="32" t="n">
        <v>0</v>
      </c>
      <c r="N18" s="28" t="n"/>
      <c r="O18" s="28" t="n"/>
      <c r="P18" s="28" t="n"/>
      <c r="Q18" s="28" t="n"/>
      <c r="R18" s="28" t="n"/>
      <c r="S18" s="28" t="n"/>
      <c r="T18" s="28" t="n"/>
      <c r="U18" s="28" t="n">
        <v>700</v>
      </c>
      <c r="V18" s="28" t="n"/>
      <c r="W18" s="28" t="n"/>
      <c r="X18" s="28" t="n"/>
      <c r="Y18" s="28" t="n"/>
      <c r="Z18" s="28" t="n"/>
      <c r="AA18" s="28" t="n"/>
      <c r="AB18" s="28" t="n"/>
      <c r="AC18" s="28" t="n"/>
      <c r="AD18" s="28" t="n"/>
      <c r="AE18" s="28" t="n"/>
      <c r="AF18" s="28" t="n"/>
      <c r="AG18" s="28" t="n"/>
      <c r="AH18" s="28" t="n"/>
      <c r="AI18" s="28" t="n"/>
      <c r="AJ18" s="28" t="n"/>
      <c r="AK18" s="28" t="n"/>
      <c r="AL18" s="28" t="n"/>
      <c r="AM18" s="28" t="n"/>
      <c r="AN18" s="28" t="n"/>
      <c r="AO18" s="28" t="n"/>
      <c r="AP18" s="28" t="n"/>
      <c r="AQ18" s="28" t="n"/>
      <c r="AR18" s="28" t="n"/>
      <c r="AS18" s="28" t="n"/>
      <c r="AT18" s="28" t="n"/>
      <c r="AU18" s="28" t="n"/>
      <c r="AV18" s="28" t="n"/>
      <c r="AW18" s="28" t="n"/>
      <c r="AX18" s="28" t="n"/>
      <c r="AY18" s="28" t="n"/>
      <c r="AZ18" s="28" t="n"/>
      <c r="BA18" s="28" t="n"/>
      <c r="BB18" s="28" t="n"/>
      <c r="BC18" s="28" t="n"/>
      <c r="BD18" s="28" t="n"/>
      <c r="BE18" s="28" t="n"/>
      <c r="BF18" s="28" t="n"/>
      <c r="BG18" s="28" t="n"/>
      <c r="BH18" s="28" t="n"/>
      <c r="BI18" s="28" t="n"/>
      <c r="BJ18" s="28" t="n"/>
      <c r="BK18" s="28" t="n"/>
      <c r="BL18" s="28" t="n"/>
      <c r="BM18" s="28" t="n"/>
      <c r="BN18" s="28" t="n"/>
      <c r="BO18" s="28" t="n"/>
      <c r="BP18" s="28" t="n"/>
      <c r="BQ18" s="28" t="n"/>
    </row>
    <row r="19" ht="14" customHeight="1" s="91">
      <c r="A19" s="32" t="inlineStr">
        <is>
          <t>1.1.03.329</t>
        </is>
      </c>
      <c r="B19" s="32" t="inlineStr">
        <is>
          <t>KJ-20260410-PREDICT</t>
        </is>
      </c>
      <c r="C19" s="32" t="n"/>
      <c r="D19" s="32" t="inlineStr">
        <is>
          <t>WO-ZZ00020548</t>
        </is>
      </c>
      <c r="E19" s="33" t="inlineStr">
        <is>
          <t>SUNKISS成人拉拉裤XL码(16片*4包) B(整箱)</t>
        </is>
      </c>
      <c r="F19" t="inlineStr">
        <is>
          <t>XL</t>
        </is>
      </c>
      <c r="G19" s="32" t="n">
        <v>16</v>
      </c>
      <c r="H19" s="32" t="n">
        <v>4</v>
      </c>
      <c r="I19" s="119" t="n">
        <v>46122</v>
      </c>
      <c r="J19" s="119" t="n">
        <v>46162</v>
      </c>
      <c r="K19" s="32" t="n">
        <v>400</v>
      </c>
      <c r="L19" s="32">
        <f>F18*G18*J18</f>
        <v/>
      </c>
      <c r="M19" s="32" t="n">
        <v>0</v>
      </c>
      <c r="N19" s="28" t="n"/>
      <c r="O19" s="28" t="n"/>
      <c r="P19" s="28" t="n"/>
      <c r="Q19" s="28" t="n"/>
      <c r="R19" s="28" t="n"/>
      <c r="S19" s="28" t="n"/>
      <c r="T19" s="28" t="n"/>
      <c r="U19" s="28" t="n">
        <v>400</v>
      </c>
      <c r="V19" s="28" t="n"/>
      <c r="W19" s="28" t="n"/>
      <c r="X19" s="28" t="n"/>
      <c r="Y19" s="28" t="n"/>
      <c r="Z19" s="28" t="n"/>
      <c r="AA19" s="28" t="n"/>
      <c r="AB19" s="28" t="n"/>
      <c r="AC19" s="28" t="n"/>
      <c r="AD19" s="28" t="n"/>
      <c r="AE19" s="28" t="n"/>
      <c r="AF19" s="28" t="n"/>
      <c r="AG19" s="28" t="n"/>
      <c r="AH19" s="28" t="n"/>
      <c r="AI19" s="28" t="n"/>
      <c r="AJ19" s="28" t="n"/>
      <c r="AK19" s="28" t="n"/>
      <c r="AL19" s="28" t="n"/>
      <c r="AM19" s="28" t="n"/>
      <c r="AN19" s="28" t="n"/>
      <c r="AO19" s="28" t="n"/>
      <c r="AP19" s="28" t="n"/>
      <c r="AQ19" s="28" t="n"/>
      <c r="AR19" s="28" t="n"/>
      <c r="AS19" s="28" t="n"/>
      <c r="AT19" s="28" t="n"/>
      <c r="AU19" s="28" t="n"/>
      <c r="AV19" s="28" t="n"/>
      <c r="AW19" s="28" t="n"/>
      <c r="AX19" s="28" t="n"/>
      <c r="AY19" s="28" t="n"/>
      <c r="AZ19" s="28" t="n"/>
      <c r="BA19" s="28" t="n"/>
      <c r="BB19" s="28" t="n"/>
      <c r="BC19" s="28" t="n"/>
      <c r="BD19" s="28" t="n"/>
      <c r="BE19" s="28" t="n"/>
      <c r="BF19" s="28" t="n"/>
      <c r="BG19" s="28" t="n"/>
      <c r="BH19" s="28" t="n"/>
      <c r="BI19" s="28" t="n"/>
      <c r="BJ19" s="28" t="n"/>
      <c r="BK19" s="28" t="n"/>
      <c r="BL19" s="28" t="n"/>
      <c r="BM19" s="28" t="n"/>
      <c r="BN19" s="28" t="n"/>
      <c r="BO19" s="28" t="n"/>
      <c r="BP19" s="28" t="n"/>
      <c r="BQ19" s="28" t="n"/>
    </row>
  </sheetData>
  <mergeCells count="3">
    <mergeCell ref="A1:H4"/>
    <mergeCell ref="I3:J4"/>
    <mergeCell ref="F5:G5"/>
  </mergeCells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5">
    <outlinePr summaryBelow="1" summaryRight="1"/>
    <pageSetUpPr/>
  </sheetPr>
  <dimension ref="A1:BQ17"/>
  <sheetViews>
    <sheetView showGridLines="0" zoomScale="70" zoomScaleNormal="70" workbookViewId="0">
      <pane xSplit="12" ySplit="5" topLeftCell="V6" activePane="bottomRight" state="frozen"/>
      <selection pane="topRight" activeCell="A1" sqref="A1"/>
      <selection pane="bottomLeft" activeCell="A1" sqref="A1"/>
      <selection pane="bottomRight" activeCell="R13" sqref="R13"/>
    </sheetView>
  </sheetViews>
  <sheetFormatPr baseColWidth="10" defaultColWidth="8.83203125" defaultRowHeight="15"/>
  <cols>
    <col width="11.83203125" customWidth="1" style="91" min="1" max="1"/>
    <col width="14" customWidth="1" style="91" min="2" max="2"/>
    <col width="21.83203125" customWidth="1" style="91" min="3" max="3"/>
    <col width="23" customWidth="1" style="91" min="4" max="4"/>
    <col width="56.5" customWidth="1" style="91" min="5" max="5"/>
    <col width="6.1640625" customWidth="1" style="91" min="6" max="6"/>
    <col width="7" customWidth="1" style="91" min="7" max="7"/>
    <col width="9.6640625" customWidth="1" style="3" min="8" max="8"/>
    <col width="14.1640625" customWidth="1" style="3" min="9" max="9"/>
    <col width="9.6640625" customWidth="1" style="91" min="10" max="10"/>
    <col width="11.83203125" customWidth="1" style="91" min="11" max="11"/>
    <col width="10.83203125" customWidth="1" style="91" min="12" max="12"/>
    <col width="9" customWidth="1" style="91" min="13" max="13"/>
  </cols>
  <sheetData>
    <row r="1" ht="16.25" customFormat="1" customHeight="1" s="101">
      <c r="A1" s="100" t="inlineStr">
        <is>
          <t>AD-3#尿片</t>
        </is>
      </c>
      <c r="J1" s="4" t="inlineStr">
        <is>
          <t>单班</t>
        </is>
      </c>
      <c r="K1" s="4" t="n">
        <v>70125</v>
      </c>
      <c r="L1" s="5" t="inlineStr">
        <is>
          <t>未排产计划</t>
        </is>
      </c>
      <c r="M1" s="107" t="n"/>
    </row>
    <row r="2" ht="16.25" customFormat="1" customHeight="1" s="101">
      <c r="J2" s="4" t="inlineStr">
        <is>
          <t>双班</t>
        </is>
      </c>
      <c r="K2" s="4" t="n">
        <v>127500</v>
      </c>
      <c r="L2" s="5" t="inlineStr">
        <is>
          <t>4月排产计划</t>
        </is>
      </c>
      <c r="M2" s="108">
        <f>SUM(#REF!)</f>
        <v/>
      </c>
      <c r="N2" s="122" t="inlineStr">
        <is>
          <t>单</t>
        </is>
      </c>
      <c r="O2" s="122" t="inlineStr">
        <is>
          <t>单</t>
        </is>
      </c>
      <c r="P2" s="122" t="inlineStr">
        <is>
          <t>单</t>
        </is>
      </c>
      <c r="Q2" s="122" t="inlineStr">
        <is>
          <t>单</t>
        </is>
      </c>
      <c r="R2" s="122" t="inlineStr"/>
      <c r="S2" s="122" t="inlineStr">
        <is>
          <t>单</t>
        </is>
      </c>
      <c r="T2" s="122" t="inlineStr">
        <is>
          <t>单</t>
        </is>
      </c>
      <c r="U2" s="122" t="inlineStr">
        <is>
          <t>单</t>
        </is>
      </c>
      <c r="V2" s="122" t="inlineStr">
        <is>
          <t>单</t>
        </is>
      </c>
      <c r="W2" s="122" t="inlineStr">
        <is>
          <t>单</t>
        </is>
      </c>
      <c r="X2" s="122" t="inlineStr">
        <is>
          <t>单</t>
        </is>
      </c>
      <c r="Y2" s="122" t="inlineStr"/>
      <c r="Z2" s="122" t="inlineStr">
        <is>
          <t>单</t>
        </is>
      </c>
      <c r="AA2" s="122" t="inlineStr">
        <is>
          <t>单</t>
        </is>
      </c>
      <c r="AB2" s="122" t="inlineStr">
        <is>
          <t>单</t>
        </is>
      </c>
      <c r="AC2" s="122" t="inlineStr">
        <is>
          <t>单</t>
        </is>
      </c>
      <c r="AD2" s="122" t="inlineStr">
        <is>
          <t>单</t>
        </is>
      </c>
      <c r="AE2" s="122" t="inlineStr">
        <is>
          <t>单</t>
        </is>
      </c>
      <c r="AF2" s="122" t="inlineStr"/>
      <c r="AG2" s="122" t="inlineStr">
        <is>
          <t>单</t>
        </is>
      </c>
      <c r="AH2" s="122" t="inlineStr">
        <is>
          <t>单</t>
        </is>
      </c>
      <c r="AI2" s="122" t="inlineStr">
        <is>
          <t>单</t>
        </is>
      </c>
      <c r="AJ2" s="122" t="inlineStr">
        <is>
          <t>单</t>
        </is>
      </c>
      <c r="AK2" s="122" t="inlineStr">
        <is>
          <t>单</t>
        </is>
      </c>
      <c r="AL2" s="122" t="inlineStr">
        <is>
          <t>单</t>
        </is>
      </c>
      <c r="AM2" s="122" t="inlineStr"/>
      <c r="AN2" s="122" t="inlineStr">
        <is>
          <t>单</t>
        </is>
      </c>
      <c r="AO2" s="122" t="inlineStr">
        <is>
          <t>单</t>
        </is>
      </c>
      <c r="AP2" s="122" t="inlineStr">
        <is>
          <t>单</t>
        </is>
      </c>
      <c r="AQ2" s="122" t="inlineStr">
        <is>
          <t>单</t>
        </is>
      </c>
      <c r="AR2" s="122" t="inlineStr">
        <is>
          <t>单</t>
        </is>
      </c>
      <c r="AS2" s="122" t="inlineStr">
        <is>
          <t>单</t>
        </is>
      </c>
      <c r="AT2" s="122" t="inlineStr"/>
      <c r="AU2" s="122" t="inlineStr">
        <is>
          <t>单</t>
        </is>
      </c>
      <c r="AV2" s="122" t="inlineStr">
        <is>
          <t>单</t>
        </is>
      </c>
      <c r="AW2" s="122" t="inlineStr">
        <is>
          <t>单</t>
        </is>
      </c>
      <c r="AX2" s="122" t="inlineStr">
        <is>
          <t>单</t>
        </is>
      </c>
      <c r="AY2" s="122" t="inlineStr">
        <is>
          <t>单</t>
        </is>
      </c>
      <c r="AZ2" s="122" t="inlineStr">
        <is>
          <t>单</t>
        </is>
      </c>
      <c r="BA2" s="122" t="inlineStr"/>
      <c r="BB2" s="122" t="inlineStr">
        <is>
          <t>单</t>
        </is>
      </c>
      <c r="BC2" s="122" t="inlineStr">
        <is>
          <t>单</t>
        </is>
      </c>
      <c r="BD2" s="122" t="inlineStr">
        <is>
          <t>单</t>
        </is>
      </c>
      <c r="BE2" s="122" t="inlineStr">
        <is>
          <t>单</t>
        </is>
      </c>
      <c r="BF2" s="122" t="inlineStr">
        <is>
          <t>单</t>
        </is>
      </c>
      <c r="BG2" s="122" t="inlineStr">
        <is>
          <t>单</t>
        </is>
      </c>
      <c r="BH2" s="122" t="inlineStr"/>
      <c r="BI2" s="122" t="inlineStr">
        <is>
          <t>单</t>
        </is>
      </c>
      <c r="BJ2" s="122" t="inlineStr">
        <is>
          <t>单</t>
        </is>
      </c>
      <c r="BK2" s="122" t="inlineStr">
        <is>
          <t>单</t>
        </is>
      </c>
      <c r="BL2" s="122" t="inlineStr">
        <is>
          <t>单</t>
        </is>
      </c>
      <c r="BM2" s="122" t="inlineStr">
        <is>
          <t>单</t>
        </is>
      </c>
      <c r="BN2" s="122" t="inlineStr">
        <is>
          <t>单</t>
        </is>
      </c>
      <c r="BO2" s="122" t="inlineStr">
        <is>
          <t>单</t>
        </is>
      </c>
      <c r="BP2" s="122" t="inlineStr">
        <is>
          <t>单</t>
        </is>
      </c>
      <c r="BQ2" s="122" t="inlineStr">
        <is>
          <t>单</t>
        </is>
      </c>
    </row>
    <row r="3" ht="17" customFormat="1" customHeight="1" s="101">
      <c r="J3" s="102" t="n"/>
      <c r="K3" s="103" t="n"/>
      <c r="N3" s="0">
        <f>MAX(0,ROWS(UNIQUE(FILTER($F7:$F17,(N7:N17&gt;0)*($F7:$F17&lt;&gt;""))))-1)*IF(N2="双",VLOOKUP($A$1,'换码设置'!$A:$C,2,FALSE),IF(N2="单",VLOOKUP($A$1,'换码设置'!$A:$C,3,FALSE),0))</f>
        <v/>
      </c>
      <c r="O3" s="0">
        <f>MAX(0,ROWS(UNIQUE(FILTER($F7:$F17,(O7:O17&gt;0)*($F7:$F17&lt;&gt;""))))-1)*IF(O2="双",VLOOKUP($A$1,'换码设置'!$A:$C,2,FALSE),IF(O2="单",VLOOKUP($A$1,'换码设置'!$A:$C,3,FALSE),0))</f>
        <v/>
      </c>
      <c r="P3" s="0">
        <f>MAX(0,ROWS(UNIQUE(FILTER($F7:$F17,(P7:P17&gt;0)*($F7:$F17&lt;&gt;""))))-1)*IF(P2="双",VLOOKUP($A$1,'换码设置'!$A:$C,2,FALSE),IF(P2="单",VLOOKUP($A$1,'换码设置'!$A:$C,3,FALSE),0))</f>
        <v/>
      </c>
      <c r="Q3" s="0">
        <f>MAX(0,ROWS(UNIQUE(FILTER($F7:$F17,(Q7:Q17&gt;0)*($F7:$F17&lt;&gt;""))))-1)*IF(Q2="双",VLOOKUP($A$1,'换码设置'!$A:$C,2,FALSE),IF(Q2="单",VLOOKUP($A$1,'换码设置'!$A:$C,3,FALSE),0))</f>
        <v/>
      </c>
      <c r="R3" s="0">
        <f>MAX(0,ROWS(UNIQUE(FILTER($F7:$F17,(R7:R17&gt;0)*($F7:$F17&lt;&gt;""))))-1)*IF(R2="双",VLOOKUP($A$1,'换码设置'!$A:$C,2,FALSE),IF(R2="单",VLOOKUP($A$1,'换码设置'!$A:$C,3,FALSE),0))</f>
        <v/>
      </c>
      <c r="S3" s="0">
        <f>MAX(0,ROWS(UNIQUE(FILTER($F7:$F17,(S7:S17&gt;0)*($F7:$F17&lt;&gt;""))))-1)*IF(S2="双",VLOOKUP($A$1,'换码设置'!$A:$C,2,FALSE),IF(S2="单",VLOOKUP($A$1,'换码设置'!$A:$C,3,FALSE),0))</f>
        <v/>
      </c>
      <c r="T3" s="0">
        <f>MAX(0,ROWS(UNIQUE(FILTER($F7:$F17,(T7:T17&gt;0)*($F7:$F17&lt;&gt;""))))-1)*IF(T2="双",VLOOKUP($A$1,'换码设置'!$A:$C,2,FALSE),IF(T2="单",VLOOKUP($A$1,'换码设置'!$A:$C,3,FALSE),0))</f>
        <v/>
      </c>
      <c r="U3" s="0">
        <f>MAX(0,ROWS(UNIQUE(FILTER($F7:$F17,(U7:U17&gt;0)*($F7:$F17&lt;&gt;""))))-1)*IF(U2="双",VLOOKUP($A$1,'换码设置'!$A:$C,2,FALSE),IF(U2="单",VLOOKUP($A$1,'换码设置'!$A:$C,3,FALSE),0))</f>
        <v/>
      </c>
      <c r="V3" s="0">
        <f>MAX(0,ROWS(UNIQUE(FILTER($F7:$F17,(V7:V17&gt;0)*($F7:$F17&lt;&gt;""))))-1)*IF(V2="双",VLOOKUP($A$1,'换码设置'!$A:$C,2,FALSE),IF(V2="单",VLOOKUP($A$1,'换码设置'!$A:$C,3,FALSE),0))</f>
        <v/>
      </c>
      <c r="W3" s="0">
        <f>MAX(0,ROWS(UNIQUE(FILTER($F7:$F17,(W7:W17&gt;0)*($F7:$F17&lt;&gt;""))))-1)*IF(W2="双",VLOOKUP($A$1,'换码设置'!$A:$C,2,FALSE),IF(W2="单",VLOOKUP($A$1,'换码设置'!$A:$C,3,FALSE),0))</f>
        <v/>
      </c>
      <c r="X3" s="0">
        <f>MAX(0,ROWS(UNIQUE(FILTER($F7:$F17,(X7:X17&gt;0)*($F7:$F17&lt;&gt;""))))-1)*IF(X2="双",VLOOKUP($A$1,'换码设置'!$A:$C,2,FALSE),IF(X2="单",VLOOKUP($A$1,'换码设置'!$A:$C,3,FALSE),0))</f>
        <v/>
      </c>
      <c r="Y3" s="0">
        <f>MAX(0,ROWS(UNIQUE(FILTER($F7:$F17,(Y7:Y17&gt;0)*($F7:$F17&lt;&gt;""))))-1)*IF(Y2="双",VLOOKUP($A$1,'换码设置'!$A:$C,2,FALSE),IF(Y2="单",VLOOKUP($A$1,'换码设置'!$A:$C,3,FALSE),0))</f>
        <v/>
      </c>
      <c r="Z3" s="0">
        <f>MAX(0,ROWS(UNIQUE(FILTER($F7:$F17,(Z7:Z17&gt;0)*($F7:$F17&lt;&gt;""))))-1)*IF(Z2="双",VLOOKUP($A$1,'换码设置'!$A:$C,2,FALSE),IF(Z2="单",VLOOKUP($A$1,'换码设置'!$A:$C,3,FALSE),0))</f>
        <v/>
      </c>
      <c r="AA3" s="0">
        <f>MAX(0,ROWS(UNIQUE(FILTER($F7:$F17,(AA7:AA17&gt;0)*($F7:$F17&lt;&gt;""))))-1)*IF(AA2="双",VLOOKUP($A$1,'换码设置'!$A:$C,2,FALSE),IF(AA2="单",VLOOKUP($A$1,'换码设置'!$A:$C,3,FALSE),0))</f>
        <v/>
      </c>
      <c r="AB3" s="0">
        <f>MAX(0,ROWS(UNIQUE(FILTER($F7:$F17,(AB7:AB17&gt;0)*($F7:$F17&lt;&gt;""))))-1)*IF(AB2="双",VLOOKUP($A$1,'换码设置'!$A:$C,2,FALSE),IF(AB2="单",VLOOKUP($A$1,'换码设置'!$A:$C,3,FALSE),0))</f>
        <v/>
      </c>
      <c r="AC3" s="0">
        <f>MAX(0,ROWS(UNIQUE(FILTER($F7:$F17,(AC7:AC17&gt;0)*($F7:$F17&lt;&gt;""))))-1)*IF(AC2="双",VLOOKUP($A$1,'换码设置'!$A:$C,2,FALSE),IF(AC2="单",VLOOKUP($A$1,'换码设置'!$A:$C,3,FALSE),0))</f>
        <v/>
      </c>
      <c r="AD3" s="0">
        <f>MAX(0,ROWS(UNIQUE(FILTER($F7:$F17,(AD7:AD17&gt;0)*($F7:$F17&lt;&gt;""))))-1)*IF(AD2="双",VLOOKUP($A$1,'换码设置'!$A:$C,2,FALSE),IF(AD2="单",VLOOKUP($A$1,'换码设置'!$A:$C,3,FALSE),0))</f>
        <v/>
      </c>
      <c r="AE3" s="0">
        <f>MAX(0,ROWS(UNIQUE(FILTER($F7:$F17,(AE7:AE17&gt;0)*($F7:$F17&lt;&gt;""))))-1)*IF(AE2="双",VLOOKUP($A$1,'换码设置'!$A:$C,2,FALSE),IF(AE2="单",VLOOKUP($A$1,'换码设置'!$A:$C,3,FALSE),0))</f>
        <v/>
      </c>
      <c r="AF3" s="0">
        <f>MAX(0,ROWS(UNIQUE(FILTER($F7:$F17,(AF7:AF17&gt;0)*($F7:$F17&lt;&gt;""))))-1)*IF(AF2="双",VLOOKUP($A$1,'换码设置'!$A:$C,2,FALSE),IF(AF2="单",VLOOKUP($A$1,'换码设置'!$A:$C,3,FALSE),0))</f>
        <v/>
      </c>
      <c r="AG3" s="0">
        <f>MAX(0,ROWS(UNIQUE(FILTER($F7:$F17,(AG7:AG17&gt;0)*($F7:$F17&lt;&gt;""))))-1)*IF(AG2="双",VLOOKUP($A$1,'换码设置'!$A:$C,2,FALSE),IF(AG2="单",VLOOKUP($A$1,'换码设置'!$A:$C,3,FALSE),0))</f>
        <v/>
      </c>
      <c r="AH3" s="0">
        <f>MAX(0,ROWS(UNIQUE(FILTER($F7:$F17,(AH7:AH17&gt;0)*($F7:$F17&lt;&gt;""))))-1)*IF(AH2="双",VLOOKUP($A$1,'换码设置'!$A:$C,2,FALSE),IF(AH2="单",VLOOKUP($A$1,'换码设置'!$A:$C,3,FALSE),0))</f>
        <v/>
      </c>
      <c r="AI3" s="0">
        <f>MAX(0,ROWS(UNIQUE(FILTER($F7:$F17,(AI7:AI17&gt;0)*($F7:$F17&lt;&gt;""))))-1)*IF(AI2="双",VLOOKUP($A$1,'换码设置'!$A:$C,2,FALSE),IF(AI2="单",VLOOKUP($A$1,'换码设置'!$A:$C,3,FALSE),0))</f>
        <v/>
      </c>
      <c r="AJ3" s="0">
        <f>MAX(0,ROWS(UNIQUE(FILTER($F7:$F17,(AJ7:AJ17&gt;0)*($F7:$F17&lt;&gt;""))))-1)*IF(AJ2="双",VLOOKUP($A$1,'换码设置'!$A:$C,2,FALSE),IF(AJ2="单",VLOOKUP($A$1,'换码设置'!$A:$C,3,FALSE),0))</f>
        <v/>
      </c>
      <c r="AK3" s="0">
        <f>MAX(0,ROWS(UNIQUE(FILTER($F7:$F17,(AK7:AK17&gt;0)*($F7:$F17&lt;&gt;""))))-1)*IF(AK2="双",VLOOKUP($A$1,'换码设置'!$A:$C,2,FALSE),IF(AK2="单",VLOOKUP($A$1,'换码设置'!$A:$C,3,FALSE),0))</f>
        <v/>
      </c>
      <c r="AL3" s="0">
        <f>MAX(0,ROWS(UNIQUE(FILTER($F7:$F17,(AL7:AL17&gt;0)*($F7:$F17&lt;&gt;""))))-1)*IF(AL2="双",VLOOKUP($A$1,'换码设置'!$A:$C,2,FALSE),IF(AL2="单",VLOOKUP($A$1,'换码设置'!$A:$C,3,FALSE),0))</f>
        <v/>
      </c>
      <c r="AM3" s="0">
        <f>MAX(0,ROWS(UNIQUE(FILTER($F7:$F17,(AM7:AM17&gt;0)*($F7:$F17&lt;&gt;""))))-1)*IF(AM2="双",VLOOKUP($A$1,'换码设置'!$A:$C,2,FALSE),IF(AM2="单",VLOOKUP($A$1,'换码设置'!$A:$C,3,FALSE),0))</f>
        <v/>
      </c>
      <c r="AN3" s="0">
        <f>MAX(0,ROWS(UNIQUE(FILTER($F7:$F17,(AN7:AN17&gt;0)*($F7:$F17&lt;&gt;""))))-1)*IF(AN2="双",VLOOKUP($A$1,'换码设置'!$A:$C,2,FALSE),IF(AN2="单",VLOOKUP($A$1,'换码设置'!$A:$C,3,FALSE),0))</f>
        <v/>
      </c>
      <c r="AO3" s="0">
        <f>MAX(0,ROWS(UNIQUE(FILTER($F7:$F17,(AO7:AO17&gt;0)*($F7:$F17&lt;&gt;""))))-1)*IF(AO2="双",VLOOKUP($A$1,'换码设置'!$A:$C,2,FALSE),IF(AO2="单",VLOOKUP($A$1,'换码设置'!$A:$C,3,FALSE),0))</f>
        <v/>
      </c>
      <c r="AP3" s="0">
        <f>MAX(0,ROWS(UNIQUE(FILTER($F7:$F17,(AP7:AP17&gt;0)*($F7:$F17&lt;&gt;""))))-1)*IF(AP2="双",VLOOKUP($A$1,'换码设置'!$A:$C,2,FALSE),IF(AP2="单",VLOOKUP($A$1,'换码设置'!$A:$C,3,FALSE),0))</f>
        <v/>
      </c>
      <c r="AQ3" s="0">
        <f>MAX(0,ROWS(UNIQUE(FILTER($F7:$F17,(AQ7:AQ17&gt;0)*($F7:$F17&lt;&gt;""))))-1)*IF(AQ2="双",VLOOKUP($A$1,'换码设置'!$A:$C,2,FALSE),IF(AQ2="单",VLOOKUP($A$1,'换码设置'!$A:$C,3,FALSE),0))</f>
        <v/>
      </c>
      <c r="AR3" s="0">
        <f>MAX(0,ROWS(UNIQUE(FILTER($F7:$F17,(AR7:AR17&gt;0)*($F7:$F17&lt;&gt;""))))-1)*IF(AR2="双",VLOOKUP($A$1,'换码设置'!$A:$C,2,FALSE),IF(AR2="单",VLOOKUP($A$1,'换码设置'!$A:$C,3,FALSE),0))</f>
        <v/>
      </c>
      <c r="AS3" s="0">
        <f>MAX(0,ROWS(UNIQUE(FILTER($F7:$F17,(AS7:AS17&gt;0)*($F7:$F17&lt;&gt;""))))-1)*IF(AS2="双",VLOOKUP($A$1,'换码设置'!$A:$C,2,FALSE),IF(AS2="单",VLOOKUP($A$1,'换码设置'!$A:$C,3,FALSE),0))</f>
        <v/>
      </c>
      <c r="AT3" s="0">
        <f>MAX(0,ROWS(UNIQUE(FILTER($F7:$F17,(AT7:AT17&gt;0)*($F7:$F17&lt;&gt;""))))-1)*IF(AT2="双",VLOOKUP($A$1,'换码设置'!$A:$C,2,FALSE),IF(AT2="单",VLOOKUP($A$1,'换码设置'!$A:$C,3,FALSE),0))</f>
        <v/>
      </c>
      <c r="AU3" s="0">
        <f>MAX(0,ROWS(UNIQUE(FILTER($F7:$F17,(AU7:AU17&gt;0)*($F7:$F17&lt;&gt;""))))-1)*IF(AU2="双",VLOOKUP($A$1,'换码设置'!$A:$C,2,FALSE),IF(AU2="单",VLOOKUP($A$1,'换码设置'!$A:$C,3,FALSE),0))</f>
        <v/>
      </c>
      <c r="AV3" s="0">
        <f>MAX(0,ROWS(UNIQUE(FILTER($F7:$F17,(AV7:AV17&gt;0)*($F7:$F17&lt;&gt;""))))-1)*IF(AV2="双",VLOOKUP($A$1,'换码设置'!$A:$C,2,FALSE),IF(AV2="单",VLOOKUP($A$1,'换码设置'!$A:$C,3,FALSE),0))</f>
        <v/>
      </c>
      <c r="AW3" s="0">
        <f>MAX(0,ROWS(UNIQUE(FILTER($F7:$F17,(AW7:AW17&gt;0)*($F7:$F17&lt;&gt;""))))-1)*IF(AW2="双",VLOOKUP($A$1,'换码设置'!$A:$C,2,FALSE),IF(AW2="单",VLOOKUP($A$1,'换码设置'!$A:$C,3,FALSE),0))</f>
        <v/>
      </c>
      <c r="AX3" s="0">
        <f>MAX(0,ROWS(UNIQUE(FILTER($F7:$F17,(AX7:AX17&gt;0)*($F7:$F17&lt;&gt;""))))-1)*IF(AX2="双",VLOOKUP($A$1,'换码设置'!$A:$C,2,FALSE),IF(AX2="单",VLOOKUP($A$1,'换码设置'!$A:$C,3,FALSE),0))</f>
        <v/>
      </c>
      <c r="AY3" s="0">
        <f>MAX(0,ROWS(UNIQUE(FILTER($F7:$F17,(AY7:AY17&gt;0)*($F7:$F17&lt;&gt;""))))-1)*IF(AY2="双",VLOOKUP($A$1,'换码设置'!$A:$C,2,FALSE),IF(AY2="单",VLOOKUP($A$1,'换码设置'!$A:$C,3,FALSE),0))</f>
        <v/>
      </c>
      <c r="AZ3" s="0">
        <f>MAX(0,ROWS(UNIQUE(FILTER($F7:$F17,(AZ7:AZ17&gt;0)*($F7:$F17&lt;&gt;""))))-1)*IF(AZ2="双",VLOOKUP($A$1,'换码设置'!$A:$C,2,FALSE),IF(AZ2="单",VLOOKUP($A$1,'换码设置'!$A:$C,3,FALSE),0))</f>
        <v/>
      </c>
      <c r="BA3" s="0">
        <f>MAX(0,ROWS(UNIQUE(FILTER($F7:$F17,(BA7:BA17&gt;0)*($F7:$F17&lt;&gt;""))))-1)*IF(BA2="双",VLOOKUP($A$1,'换码设置'!$A:$C,2,FALSE),IF(BA2="单",VLOOKUP($A$1,'换码设置'!$A:$C,3,FALSE),0))</f>
        <v/>
      </c>
      <c r="BB3" s="0">
        <f>MAX(0,ROWS(UNIQUE(FILTER($F7:$F17,(BB7:BB17&gt;0)*($F7:$F17&lt;&gt;""))))-1)*IF(BB2="双",VLOOKUP($A$1,'换码设置'!$A:$C,2,FALSE),IF(BB2="单",VLOOKUP($A$1,'换码设置'!$A:$C,3,FALSE),0))</f>
        <v/>
      </c>
      <c r="BC3" s="0">
        <f>MAX(0,ROWS(UNIQUE(FILTER($F7:$F17,(BC7:BC17&gt;0)*($F7:$F17&lt;&gt;""))))-1)*IF(BC2="双",VLOOKUP($A$1,'换码设置'!$A:$C,2,FALSE),IF(BC2="单",VLOOKUP($A$1,'换码设置'!$A:$C,3,FALSE),0))</f>
        <v/>
      </c>
      <c r="BD3" s="0">
        <f>MAX(0,ROWS(UNIQUE(FILTER($F7:$F17,(BD7:BD17&gt;0)*($F7:$F17&lt;&gt;""))))-1)*IF(BD2="双",VLOOKUP($A$1,'换码设置'!$A:$C,2,FALSE),IF(BD2="单",VLOOKUP($A$1,'换码设置'!$A:$C,3,FALSE),0))</f>
        <v/>
      </c>
      <c r="BE3" s="0">
        <f>MAX(0,ROWS(UNIQUE(FILTER($F7:$F17,(BE7:BE17&gt;0)*($F7:$F17&lt;&gt;""))))-1)*IF(BE2="双",VLOOKUP($A$1,'换码设置'!$A:$C,2,FALSE),IF(BE2="单",VLOOKUP($A$1,'换码设置'!$A:$C,3,FALSE),0))</f>
        <v/>
      </c>
      <c r="BF3" s="0">
        <f>MAX(0,ROWS(UNIQUE(FILTER($F7:$F17,(BF7:BF17&gt;0)*($F7:$F17&lt;&gt;""))))-1)*IF(BF2="双",VLOOKUP($A$1,'换码设置'!$A:$C,2,FALSE),IF(BF2="单",VLOOKUP($A$1,'换码设置'!$A:$C,3,FALSE),0))</f>
        <v/>
      </c>
      <c r="BG3" s="0">
        <f>MAX(0,ROWS(UNIQUE(FILTER($F7:$F17,(BG7:BG17&gt;0)*($F7:$F17&lt;&gt;""))))-1)*IF(BG2="双",VLOOKUP($A$1,'换码设置'!$A:$C,2,FALSE),IF(BG2="单",VLOOKUP($A$1,'换码设置'!$A:$C,3,FALSE),0))</f>
        <v/>
      </c>
      <c r="BH3" s="0">
        <f>MAX(0,ROWS(UNIQUE(FILTER($F7:$F17,(BH7:BH17&gt;0)*($F7:$F17&lt;&gt;""))))-1)*IF(BH2="双",VLOOKUP($A$1,'换码设置'!$A:$C,2,FALSE),IF(BH2="单",VLOOKUP($A$1,'换码设置'!$A:$C,3,FALSE),0))</f>
        <v/>
      </c>
      <c r="BI3" s="0">
        <f>MAX(0,ROWS(UNIQUE(FILTER($F7:$F17,(BI7:BI17&gt;0)*($F7:$F17&lt;&gt;""))))-1)*IF(BI2="双",VLOOKUP($A$1,'换码设置'!$A:$C,2,FALSE),IF(BI2="单",VLOOKUP($A$1,'换码设置'!$A:$C,3,FALSE),0))</f>
        <v/>
      </c>
      <c r="BJ3" s="0">
        <f>MAX(0,ROWS(UNIQUE(FILTER($F7:$F17,(BJ7:BJ17&gt;0)*($F7:$F17&lt;&gt;""))))-1)*IF(BJ2="双",VLOOKUP($A$1,'换码设置'!$A:$C,2,FALSE),IF(BJ2="单",VLOOKUP($A$1,'换码设置'!$A:$C,3,FALSE),0))</f>
        <v/>
      </c>
      <c r="BK3" s="0">
        <f>MAX(0,ROWS(UNIQUE(FILTER($F7:$F17,(BK7:BK17&gt;0)*($F7:$F17&lt;&gt;""))))-1)*IF(BK2="双",VLOOKUP($A$1,'换码设置'!$A:$C,2,FALSE),IF(BK2="单",VLOOKUP($A$1,'换码设置'!$A:$C,3,FALSE),0))</f>
        <v/>
      </c>
      <c r="BL3" s="0">
        <f>MAX(0,ROWS(UNIQUE(FILTER($F7:$F17,(BL7:BL17&gt;0)*($F7:$F17&lt;&gt;""))))-1)*IF(BL2="双",VLOOKUP($A$1,'换码设置'!$A:$C,2,FALSE),IF(BL2="单",VLOOKUP($A$1,'换码设置'!$A:$C,3,FALSE),0))</f>
        <v/>
      </c>
      <c r="BM3" s="0">
        <f>MAX(0,ROWS(UNIQUE(FILTER($F7:$F17,(BM7:BM17&gt;0)*($F7:$F17&lt;&gt;""))))-1)*IF(BM2="双",VLOOKUP($A$1,'换码设置'!$A:$C,2,FALSE),IF(BM2="单",VLOOKUP($A$1,'换码设置'!$A:$C,3,FALSE),0))</f>
        <v/>
      </c>
      <c r="BN3" s="0">
        <f>MAX(0,ROWS(UNIQUE(FILTER($F7:$F17,(BN7:BN17&gt;0)*($F7:$F17&lt;&gt;""))))-1)*IF(BN2="双",VLOOKUP($A$1,'换码设置'!$A:$C,2,FALSE),IF(BN2="单",VLOOKUP($A$1,'换码设置'!$A:$C,3,FALSE),0))</f>
        <v/>
      </c>
      <c r="BO3" s="0">
        <f>MAX(0,ROWS(UNIQUE(FILTER($F7:$F17,(BO7:BO17&gt;0)*($F7:$F17&lt;&gt;""))))-1)*IF(BO2="双",VLOOKUP($A$1,'换码设置'!$A:$C,2,FALSE),IF(BO2="单",VLOOKUP($A$1,'换码设置'!$A:$C,3,FALSE),0))</f>
        <v/>
      </c>
      <c r="BP3" s="0">
        <f>MAX(0,ROWS(UNIQUE(FILTER($F7:$F17,(BP7:BP17&gt;0)*($F7:$F17&lt;&gt;""))))-1)*IF(BP2="双",VLOOKUP($A$1,'换码设置'!$A:$C,2,FALSE),IF(BP2="单",VLOOKUP($A$1,'换码设置'!$A:$C,3,FALSE),0))</f>
        <v/>
      </c>
      <c r="BQ3" s="0">
        <f>MAX(0,ROWS(UNIQUE(FILTER($F7:$F17,(BQ7:BQ17&gt;0)*($F7:$F17&lt;&gt;""))))-1)*IF(BQ2="双",VLOOKUP($A$1,'换码设置'!$A:$C,2,FALSE),IF(BQ2="单",VLOOKUP($A$1,'换码设置'!$A:$C,3,FALSE),0))</f>
        <v/>
      </c>
    </row>
    <row r="4" ht="17" customFormat="1" customHeight="1" s="101">
      <c r="K4" s="103" t="n"/>
      <c r="L4" s="5" t="inlineStr">
        <is>
          <t>5月排产计划</t>
        </is>
      </c>
      <c r="M4" s="108">
        <f>SUM(M5:AL5)</f>
        <v/>
      </c>
      <c r="N4" s="122" t="n">
        <v>46148</v>
      </c>
      <c r="O4" s="122" t="n">
        <v>46149</v>
      </c>
      <c r="P4" s="122" t="n">
        <v>46150</v>
      </c>
      <c r="Q4" s="122" t="n">
        <v>46151</v>
      </c>
      <c r="R4" s="122" t="n">
        <v>46152</v>
      </c>
      <c r="S4" s="122" t="n">
        <v>46153</v>
      </c>
      <c r="T4" s="122" t="n">
        <v>46154</v>
      </c>
      <c r="U4" s="122" t="n">
        <v>46155</v>
      </c>
      <c r="V4" s="122" t="n">
        <v>46156</v>
      </c>
      <c r="W4" s="122" t="n">
        <v>46157</v>
      </c>
      <c r="X4" s="122" t="n">
        <v>46158</v>
      </c>
      <c r="Y4" s="122" t="n">
        <v>46159</v>
      </c>
      <c r="Z4" s="122" t="n">
        <v>46160</v>
      </c>
      <c r="AA4" s="122" t="n">
        <v>46161</v>
      </c>
      <c r="AB4" s="122" t="n">
        <v>46162</v>
      </c>
      <c r="AC4" s="122" t="n">
        <v>46163</v>
      </c>
      <c r="AD4" s="122" t="n">
        <v>46164</v>
      </c>
      <c r="AE4" s="122" t="n">
        <v>46165</v>
      </c>
      <c r="AF4" s="122" t="n">
        <v>46166</v>
      </c>
      <c r="AG4" s="122" t="n">
        <v>46167</v>
      </c>
      <c r="AH4" s="122" t="n">
        <v>46168</v>
      </c>
      <c r="AI4" s="122" t="n">
        <v>46169</v>
      </c>
      <c r="AJ4" s="122" t="n">
        <v>46170</v>
      </c>
      <c r="AK4" s="122" t="n">
        <v>46171</v>
      </c>
      <c r="AL4" s="122" t="n">
        <v>46172</v>
      </c>
      <c r="AM4" s="122" t="n">
        <v>46173</v>
      </c>
      <c r="AN4" s="122" t="n">
        <v>46174</v>
      </c>
      <c r="AO4" s="122" t="n">
        <v>46175</v>
      </c>
      <c r="AP4" s="122" t="n">
        <v>46176</v>
      </c>
      <c r="AQ4" s="122" t="n">
        <v>46177</v>
      </c>
      <c r="AR4" s="122" t="n">
        <v>46178</v>
      </c>
      <c r="AS4" s="122" t="n">
        <v>46179</v>
      </c>
      <c r="AT4" s="122" t="n">
        <v>46180</v>
      </c>
      <c r="AU4" s="122" t="n">
        <v>46181</v>
      </c>
      <c r="AV4" s="122" t="n">
        <v>46182</v>
      </c>
      <c r="AW4" s="122" t="n">
        <v>46183</v>
      </c>
      <c r="AX4" s="122" t="n">
        <v>46184</v>
      </c>
      <c r="AY4" s="122" t="n">
        <v>46185</v>
      </c>
      <c r="AZ4" s="122" t="n">
        <v>46186</v>
      </c>
      <c r="BA4" s="122" t="n">
        <v>46187</v>
      </c>
      <c r="BB4" s="122" t="n">
        <v>46188</v>
      </c>
      <c r="BC4" s="122" t="n">
        <v>46189</v>
      </c>
      <c r="BD4" s="122" t="n">
        <v>46190</v>
      </c>
      <c r="BE4" s="122" t="n">
        <v>46191</v>
      </c>
      <c r="BF4" s="122" t="n">
        <v>46192</v>
      </c>
      <c r="BG4" s="122" t="n">
        <v>46193</v>
      </c>
      <c r="BH4" s="122" t="n">
        <v>46194</v>
      </c>
      <c r="BI4" s="122" t="n">
        <v>46195</v>
      </c>
      <c r="BJ4" s="122" t="n">
        <v>46196</v>
      </c>
      <c r="BK4" s="122" t="n">
        <v>46197</v>
      </c>
      <c r="BL4" s="122" t="n">
        <v>46198</v>
      </c>
      <c r="BM4" s="122" t="n">
        <v>46199</v>
      </c>
      <c r="BN4" s="122" t="n">
        <v>46200</v>
      </c>
      <c r="BO4" s="122" t="n">
        <v>46201</v>
      </c>
      <c r="BP4" s="122" t="n">
        <v>46202</v>
      </c>
      <c r="BQ4" s="122" t="n">
        <v>46203</v>
      </c>
    </row>
    <row r="5" ht="15.5" customFormat="1" customHeight="1" s="101">
      <c r="G5" s="101" t="n"/>
      <c r="J5" s="95" t="n"/>
      <c r="K5" s="96" t="n"/>
      <c r="L5" s="5" t="inlineStr">
        <is>
          <t>目前总共订单</t>
        </is>
      </c>
      <c r="M5" s="110">
        <f>SUM(L1:L3)</f>
        <v/>
      </c>
      <c r="N5" s="15">
        <f>IF(N2="单",$K$1,IF(N2="双",$K$2,0))-N3-N6</f>
        <v/>
      </c>
      <c r="O5" s="15">
        <f>IF(O2="单",$K$1,IF(O2="双",$K$2,0))-O3-O6</f>
        <v/>
      </c>
      <c r="P5" s="15">
        <f>IF(P2="单",$K$1,IF(P2="双",$K$2,0))-P3-P6</f>
        <v/>
      </c>
      <c r="Q5" s="15">
        <f>IF(Q2="单",$K$1,IF(Q2="双",$K$2,0))-Q3-Q6</f>
        <v/>
      </c>
      <c r="R5" s="15">
        <f>IF(R2="单",$K$1,IF(R2="双",$K$2,0))-R3-R6</f>
        <v/>
      </c>
      <c r="S5" s="15">
        <f>IF(S2="单",$K$1,IF(S2="双",$K$2,0))-S3-S6</f>
        <v/>
      </c>
      <c r="T5" s="15">
        <f>IF(T2="单",$K$1,IF(T2="双",$K$2,0))-T3-T6</f>
        <v/>
      </c>
      <c r="U5" s="15">
        <f>IF(U2="单",$K$1,IF(U2="双",$K$2,0))-U3-U6</f>
        <v/>
      </c>
      <c r="V5" s="15">
        <f>IF(V2="单",$K$1,IF(V2="双",$K$2,0))-V3-V6</f>
        <v/>
      </c>
      <c r="W5" s="15">
        <f>IF(W2="单",$K$1,IF(W2="双",$K$2,0))-W3-W6</f>
        <v/>
      </c>
      <c r="X5" s="15">
        <f>IF(X2="单",$K$1,IF(X2="双",$K$2,0))-X3-X6</f>
        <v/>
      </c>
      <c r="Y5" s="15">
        <f>IF(Y2="单",$K$1,IF(Y2="双",$K$2,0))-Y3-Y6</f>
        <v/>
      </c>
      <c r="Z5" s="15">
        <f>IF(Z2="单",$K$1,IF(Z2="双",$K$2,0))-Z3-Z6</f>
        <v/>
      </c>
      <c r="AA5" s="15">
        <f>IF(AA2="单",$K$1,IF(AA2="双",$K$2,0))-AA3-AA6</f>
        <v/>
      </c>
      <c r="AB5" s="15">
        <f>IF(AB2="单",$K$1,IF(AB2="双",$K$2,0))-AB3-AB6</f>
        <v/>
      </c>
      <c r="AC5" s="15">
        <f>IF(AC2="单",$K$1,IF(AC2="双",$K$2,0))-AC3-AC6</f>
        <v/>
      </c>
      <c r="AD5" s="15">
        <f>IF(AD2="单",$K$1,IF(AD2="双",$K$2,0))-AD3-AD6</f>
        <v/>
      </c>
      <c r="AE5" s="15">
        <f>IF(AE2="单",$K$1,IF(AE2="双",$K$2,0))-AE3-AE6</f>
        <v/>
      </c>
      <c r="AF5" s="15">
        <f>IF(AF2="单",$K$1,IF(AF2="双",$K$2,0))-AF3-AF6</f>
        <v/>
      </c>
      <c r="AG5" s="15">
        <f>IF(AG2="单",$K$1,IF(AG2="双",$K$2,0))-AG3-AG6</f>
        <v/>
      </c>
      <c r="AH5" s="15">
        <f>IF(AH2="单",$K$1,IF(AH2="双",$K$2,0))-AH3-AH6</f>
        <v/>
      </c>
      <c r="AI5" s="15">
        <f>IF(AI2="单",$K$1,IF(AI2="双",$K$2,0))-AI3-AI6</f>
        <v/>
      </c>
      <c r="AJ5" s="15">
        <f>IF(AJ2="单",$K$1,IF(AJ2="双",$K$2,0))-AJ3-AJ6</f>
        <v/>
      </c>
      <c r="AK5" s="15">
        <f>IF(AK2="单",$K$1,IF(AK2="双",$K$2,0))-AK3-AK6</f>
        <v/>
      </c>
      <c r="AL5" s="15">
        <f>IF(AL2="单",$K$1,IF(AL2="双",$K$2,0))-AL3-AL6</f>
        <v/>
      </c>
      <c r="AM5" s="15">
        <f>IF(AM2="单",$K$1,IF(AM2="双",$K$2,0))-AM3-AM6</f>
        <v/>
      </c>
      <c r="AN5" s="15">
        <f>IF(AN2="单",$K$1,IF(AN2="双",$K$2,0))-AN3-AN6</f>
        <v/>
      </c>
      <c r="AO5" s="15">
        <f>IF(AO2="单",$K$1,IF(AO2="双",$K$2,0))-AO3-AO6</f>
        <v/>
      </c>
      <c r="AP5" s="15">
        <f>IF(AP2="单",$K$1,IF(AP2="双",$K$2,0))-AP3-AP6</f>
        <v/>
      </c>
      <c r="AQ5" s="15">
        <f>IF(AQ2="单",$K$1,IF(AQ2="双",$K$2,0))-AQ3-AQ6</f>
        <v/>
      </c>
      <c r="AR5" s="15">
        <f>IF(AR2="单",$K$1,IF(AR2="双",$K$2,0))-AR3-AR6</f>
        <v/>
      </c>
      <c r="AS5" s="15">
        <f>IF(AS2="单",$K$1,IF(AS2="双",$K$2,0))-AS3-AS6</f>
        <v/>
      </c>
      <c r="AT5" s="15">
        <f>IF(AT2="单",$K$1,IF(AT2="双",$K$2,0))-AT3-AT6</f>
        <v/>
      </c>
      <c r="AU5" s="15">
        <f>IF(AU2="单",$K$1,IF(AU2="双",$K$2,0))-AU3-AU6</f>
        <v/>
      </c>
      <c r="AV5" s="15">
        <f>IF(AV2="单",$K$1,IF(AV2="双",$K$2,0))-AV3-AV6</f>
        <v/>
      </c>
      <c r="AW5" s="15">
        <f>IF(AW2="单",$K$1,IF(AW2="双",$K$2,0))-AW3-AW6</f>
        <v/>
      </c>
      <c r="AX5" s="15">
        <f>IF(AX2="单",$K$1,IF(AX2="双",$K$2,0))-AX3-AX6</f>
        <v/>
      </c>
      <c r="AY5" s="15">
        <f>IF(AY2="单",$K$1,IF(AY2="双",$K$2,0))-AY3-AY6</f>
        <v/>
      </c>
      <c r="AZ5" s="15">
        <f>IF(AZ2="单",$K$1,IF(AZ2="双",$K$2,0))-AZ3-AZ6</f>
        <v/>
      </c>
      <c r="BA5" s="15">
        <f>IF(BA2="单",$K$1,IF(BA2="双",$K$2,0))-BA3-BA6</f>
        <v/>
      </c>
      <c r="BB5" s="15">
        <f>IF(BB2="单",$K$1,IF(BB2="双",$K$2,0))-BB3-BB6</f>
        <v/>
      </c>
      <c r="BC5" s="15">
        <f>IF(BC2="单",$K$1,IF(BC2="双",$K$2,0))-BC3-BC6</f>
        <v/>
      </c>
      <c r="BD5" s="15">
        <f>IF(BD2="单",$K$1,IF(BD2="双",$K$2,0))-BD3-BD6</f>
        <v/>
      </c>
      <c r="BE5" s="15">
        <f>IF(BE2="单",$K$1,IF(BE2="双",$K$2,0))-BE3-BE6</f>
        <v/>
      </c>
      <c r="BF5" s="15">
        <f>IF(BF2="单",$K$1,IF(BF2="双",$K$2,0))-BF3-BF6</f>
        <v/>
      </c>
      <c r="BG5" s="15">
        <f>IF(BG2="单",$K$1,IF(BG2="双",$K$2,0))-BG3-BG6</f>
        <v/>
      </c>
      <c r="BH5" s="15">
        <f>IF(BH2="单",$K$1,IF(BH2="双",$K$2,0))-BH3-BH6</f>
        <v/>
      </c>
      <c r="BI5" s="15">
        <f>IF(BI2="单",$K$1,IF(BI2="双",$K$2,0))-BI3-BI6</f>
        <v/>
      </c>
      <c r="BJ5" s="15">
        <f>IF(BJ2="单",$K$1,IF(BJ2="双",$K$2,0))-BJ3-BJ6</f>
        <v/>
      </c>
      <c r="BK5" s="15">
        <f>IF(BK2="单",$K$1,IF(BK2="双",$K$2,0))-BK3-BK6</f>
        <v/>
      </c>
      <c r="BL5" s="15">
        <f>IF(BL2="单",$K$1,IF(BL2="双",$K$2,0))-BL3-BL6</f>
        <v/>
      </c>
      <c r="BM5" s="15">
        <f>IF(BM2="单",$K$1,IF(BM2="双",$K$2,0))-BM3-BM6</f>
        <v/>
      </c>
      <c r="BN5" s="15">
        <f>IF(BN2="单",$K$1,IF(BN2="双",$K$2,0))-BN3-BN6</f>
        <v/>
      </c>
      <c r="BO5" s="15">
        <f>IF(BO2="单",$K$1,IF(BO2="双",$K$2,0))-BO3-BO6</f>
        <v/>
      </c>
      <c r="BP5" s="15">
        <f>IF(BP2="单",$K$1,IF(BP2="双",$K$2,0))-BP3-BP6</f>
        <v/>
      </c>
      <c r="BQ5" s="15">
        <f>IF(BQ2="单",$K$1,IF(BQ2="双",$K$2,0))-BQ3-BQ6</f>
        <v/>
      </c>
    </row>
    <row r="6" ht="14" customHeight="1" s="91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t="inlineStr">
        <is>
          <t>尺码</t>
        </is>
      </c>
      <c r="G6" s="97" t="inlineStr">
        <is>
          <t>规格(p*b*z)</t>
        </is>
      </c>
      <c r="H6" s="98" t="n"/>
      <c r="I6" s="111" t="inlineStr">
        <is>
          <t>下单时间</t>
        </is>
      </c>
      <c r="J6" s="112" t="inlineStr">
        <is>
          <t>最晚交货时间</t>
        </is>
      </c>
      <c r="K6" s="15" t="inlineStr">
        <is>
          <t>下单箱数</t>
        </is>
      </c>
      <c r="L6" s="16" t="inlineStr">
        <is>
          <t>下单片数</t>
        </is>
      </c>
      <c r="M6" s="17" t="inlineStr">
        <is>
          <t>剩余排产</t>
        </is>
      </c>
      <c r="N6" s="31">
        <f>SUMPRODUCT($G7:$G9964,$H7:$H9964,N$7:N$9964)</f>
        <v/>
      </c>
      <c r="O6" s="31">
        <f>SUMPRODUCT($G7:$G9964,$H7:$H9964,O$7:O$9964)</f>
        <v/>
      </c>
      <c r="P6" s="31">
        <f>SUMPRODUCT($G7:$G9964,$H7:$H9964,P$7:P$9964)</f>
        <v/>
      </c>
      <c r="Q6" s="31">
        <f>SUMPRODUCT($G7:$G9964,$H7:$H9964,Q$7:Q$9964)</f>
        <v/>
      </c>
      <c r="R6" s="31">
        <f>SUMPRODUCT($G7:$G9964,$H7:$H9964,R$7:R$9964)</f>
        <v/>
      </c>
      <c r="S6" s="31">
        <f>SUMPRODUCT($G7:$G9964,$H7:$H9964,S$7:S$9964)</f>
        <v/>
      </c>
      <c r="T6" s="31">
        <f>SUMPRODUCT($G7:$G9964,$H7:$H9964,T$7:T$9964)</f>
        <v/>
      </c>
      <c r="U6" s="31">
        <f>SUMPRODUCT($G7:$G9964,$H7:$H9964,U$7:U$9964)</f>
        <v/>
      </c>
      <c r="V6" s="31">
        <f>SUMPRODUCT($G7:$G9964,$H7:$H9964,V$7:V$9964)</f>
        <v/>
      </c>
      <c r="W6" s="31">
        <f>SUMPRODUCT($G7:$G9964,$H7:$H9964,W$7:W$9964)</f>
        <v/>
      </c>
      <c r="X6" s="31">
        <f>SUMPRODUCT($G7:$G9964,$H7:$H9964,X$7:X$9964)</f>
        <v/>
      </c>
      <c r="Y6" s="31">
        <f>SUMPRODUCT($G7:$G9964,$H7:$H9964,Y$7:Y$9964)</f>
        <v/>
      </c>
      <c r="Z6" s="31">
        <f>SUMPRODUCT($G7:$G9964,$H7:$H9964,Z$7:Z$9964)</f>
        <v/>
      </c>
      <c r="AA6" s="31">
        <f>SUMPRODUCT($G7:$G9964,$H7:$H9964,AA$7:AA$9964)</f>
        <v/>
      </c>
      <c r="AB6" s="31">
        <f>SUMPRODUCT($G7:$G9964,$H7:$H9964,AB$7:AB$9964)</f>
        <v/>
      </c>
      <c r="AC6" s="31">
        <f>SUMPRODUCT($G7:$G9964,$H7:$H9964,AC$7:AC$9964)</f>
        <v/>
      </c>
      <c r="AD6" s="31">
        <f>SUMPRODUCT($G7:$G9964,$H7:$H9964,AD$7:AD$9964)</f>
        <v/>
      </c>
      <c r="AE6" s="31">
        <f>SUMPRODUCT($G7:$G9964,$H7:$H9964,AE$7:AE$9964)</f>
        <v/>
      </c>
      <c r="AF6" s="31">
        <f>SUMPRODUCT($G7:$G9964,$H7:$H9964,AF$7:AF$9964)</f>
        <v/>
      </c>
      <c r="AG6" s="31">
        <f>SUMPRODUCT($G7:$G9964,$H7:$H9964,AG$7:AG$9964)</f>
        <v/>
      </c>
      <c r="AH6" s="31">
        <f>SUMPRODUCT($G7:$G9964,$H7:$H9964,AH$7:AH$9964)</f>
        <v/>
      </c>
      <c r="AI6" s="31">
        <f>SUMPRODUCT($G7:$G9964,$H7:$H9964,AI$7:AI$9964)</f>
        <v/>
      </c>
      <c r="AJ6" s="31">
        <f>SUMPRODUCT($G7:$G9964,$H7:$H9964,AJ$7:AJ$9964)</f>
        <v/>
      </c>
      <c r="AK6" s="31">
        <f>SUMPRODUCT($G7:$G9964,$H7:$H9964,AK$7:AK$9964)</f>
        <v/>
      </c>
      <c r="AL6" s="31">
        <f>SUMPRODUCT($G7:$G9964,$H7:$H9964,AL$7:AL$9964)</f>
        <v/>
      </c>
      <c r="AM6" s="31">
        <f>SUMPRODUCT($G7:$G9964,$H7:$H9964,AM$7:AM$9964)</f>
        <v/>
      </c>
      <c r="AN6" s="31">
        <f>SUMPRODUCT($G7:$G9964,$H7:$H9964,AN$7:AN$9964)</f>
        <v/>
      </c>
      <c r="AO6" s="31">
        <f>SUMPRODUCT($G7:$G9964,$H7:$H9964,AO$7:AO$9964)</f>
        <v/>
      </c>
      <c r="AP6" s="31">
        <f>SUMPRODUCT($G7:$G9964,$H7:$H9964,AP$7:AP$9964)</f>
        <v/>
      </c>
      <c r="AQ6" s="31">
        <f>SUMPRODUCT($G7:$G9964,$H7:$H9964,AQ$7:AQ$9964)</f>
        <v/>
      </c>
      <c r="AR6" s="31">
        <f>SUMPRODUCT($G7:$G9964,$H7:$H9964,AR$7:AR$9964)</f>
        <v/>
      </c>
      <c r="AS6" s="31">
        <f>SUMPRODUCT($G7:$G9964,$H7:$H9964,AS$7:AS$9964)</f>
        <v/>
      </c>
      <c r="AT6" s="31">
        <f>SUMPRODUCT($G7:$G9964,$H7:$H9964,AT$7:AT$9964)</f>
        <v/>
      </c>
      <c r="AU6" s="31">
        <f>SUMPRODUCT($G7:$G9964,$H7:$H9964,AU$7:AU$9964)</f>
        <v/>
      </c>
      <c r="AV6" s="31">
        <f>SUMPRODUCT($G7:$G9964,$H7:$H9964,AV$7:AV$9964)</f>
        <v/>
      </c>
      <c r="AW6" s="31">
        <f>SUMPRODUCT($G7:$G9964,$H7:$H9964,AW$7:AW$9964)</f>
        <v/>
      </c>
      <c r="AX6" s="31">
        <f>SUMPRODUCT($G7:$G9964,$H7:$H9964,AX$7:AX$9964)</f>
        <v/>
      </c>
      <c r="AY6" s="31">
        <f>SUMPRODUCT($G7:$G9964,$H7:$H9964,AY$7:AY$9964)</f>
        <v/>
      </c>
      <c r="AZ6" s="31">
        <f>SUMPRODUCT($G7:$G9964,$H7:$H9964,AZ$7:AZ$9964)</f>
        <v/>
      </c>
      <c r="BA6" s="31">
        <f>SUMPRODUCT($G7:$G9964,$H7:$H9964,BA$7:BA$9964)</f>
        <v/>
      </c>
      <c r="BB6" s="31">
        <f>SUMPRODUCT($G7:$G9964,$H7:$H9964,BB$7:BB$9964)</f>
        <v/>
      </c>
      <c r="BC6" s="31">
        <f>SUMPRODUCT($G7:$G9964,$H7:$H9964,BC$7:BC$9964)</f>
        <v/>
      </c>
      <c r="BD6" s="31">
        <f>SUMPRODUCT($G7:$G9964,$H7:$H9964,BD$7:BD$9964)</f>
        <v/>
      </c>
      <c r="BE6" s="31">
        <f>SUMPRODUCT($G7:$G9964,$H7:$H9964,BE$7:BE$9964)</f>
        <v/>
      </c>
      <c r="BF6" s="31">
        <f>SUMPRODUCT($G7:$G9964,$H7:$H9964,BF$7:BF$9964)</f>
        <v/>
      </c>
      <c r="BG6" s="31">
        <f>SUMPRODUCT($G7:$G9964,$H7:$H9964,BG$7:BG$9964)</f>
        <v/>
      </c>
      <c r="BH6" s="31">
        <f>SUMPRODUCT($G7:$G9964,$H7:$H9964,BH$7:BH$9964)</f>
        <v/>
      </c>
      <c r="BI6" s="31">
        <f>SUMPRODUCT($G7:$G9964,$H7:$H9964,BI$7:BI$9964)</f>
        <v/>
      </c>
      <c r="BJ6" s="31">
        <f>SUMPRODUCT($G7:$G9964,$H7:$H9964,BJ$7:BJ$9964)</f>
        <v/>
      </c>
      <c r="BK6" s="31">
        <f>SUMPRODUCT($G7:$G9964,$H7:$H9964,BK$7:BK$9964)</f>
        <v/>
      </c>
      <c r="BL6" s="31">
        <f>SUMPRODUCT($G7:$G9964,$H7:$H9964,BL$7:BL$9964)</f>
        <v/>
      </c>
      <c r="BM6" s="31">
        <f>SUMPRODUCT($G7:$G9964,$H7:$H9964,BM$7:BM$9964)</f>
        <v/>
      </c>
      <c r="BN6" s="31">
        <f>SUMPRODUCT($G7:$G9964,$H7:$H9964,BN$7:BN$9964)</f>
        <v/>
      </c>
      <c r="BO6" s="31">
        <f>SUMPRODUCT($G7:$G9964,$H7:$H9964,BO$7:BO$9964)</f>
        <v/>
      </c>
      <c r="BP6" s="31">
        <f>SUMPRODUCT($G7:$G9964,$H7:$H9964,BP$7:BP$9964)</f>
        <v/>
      </c>
      <c r="BQ6" s="31">
        <f>SUMPRODUCT($G7:$G9964,$H7:$H9964,BQ$7:BQ$9964)</f>
        <v/>
      </c>
    </row>
    <row r="7" ht="15.5" customHeight="1" s="91">
      <c r="A7" s="19" t="inlineStr">
        <is>
          <t>1.3.03.208</t>
        </is>
      </c>
      <c r="B7" s="19" t="n"/>
      <c r="C7" s="19" t="n"/>
      <c r="D7" s="19" t="inlineStr">
        <is>
          <t>WO-ZZ00020610</t>
        </is>
      </c>
      <c r="E7" s="21" t="inlineStr">
        <is>
          <t>贴静舒爽系列成人尿片L码82x28cm（10片*12包）大白袋装</t>
        </is>
      </c>
      <c r="F7" t="inlineStr">
        <is>
          <t>L</t>
        </is>
      </c>
      <c r="G7" s="19" t="n">
        <v>10</v>
      </c>
      <c r="H7" s="19" t="n">
        <v>12</v>
      </c>
      <c r="I7" s="116" t="n"/>
      <c r="J7" s="116" t="n"/>
      <c r="K7" s="19" t="n">
        <v>180</v>
      </c>
      <c r="L7" s="19">
        <f>F6*G6*J6</f>
        <v/>
      </c>
      <c r="M7" s="19" t="n">
        <v>0</v>
      </c>
      <c r="N7" s="28" t="n">
        <v>132</v>
      </c>
      <c r="O7" s="28" t="n"/>
      <c r="P7" s="28" t="n"/>
      <c r="Q7" s="28" t="n"/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  <c r="AA7" s="28" t="n"/>
      <c r="AB7" s="28" t="n"/>
      <c r="AC7" s="28" t="n"/>
      <c r="AD7" s="28" t="n"/>
      <c r="AE7" s="28" t="n"/>
      <c r="AF7" s="28" t="n"/>
      <c r="AG7" s="28" t="n"/>
      <c r="AH7" s="28" t="n"/>
      <c r="AI7" s="28" t="n"/>
      <c r="AJ7" s="28" t="n"/>
      <c r="AK7" s="28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  <c r="BP7" s="28" t="n"/>
      <c r="BQ7" s="28" t="n"/>
    </row>
    <row r="8" ht="15.5" customHeight="1" s="91">
      <c r="A8" s="19" t="inlineStr">
        <is>
          <t>1.3.03.206</t>
        </is>
      </c>
      <c r="B8" s="19" t="inlineStr">
        <is>
          <t>NM-20260210-001</t>
        </is>
      </c>
      <c r="C8" s="19" t="n"/>
      <c r="D8" s="19" t="inlineStr">
        <is>
          <t>WO-ZZ00020383</t>
        </is>
      </c>
      <c r="E8" s="21" t="inlineStr">
        <is>
          <t>贴静舒爽系列成人8字尿片L码（20片*6包）</t>
        </is>
      </c>
      <c r="F8" t="inlineStr">
        <is>
          <t>L</t>
        </is>
      </c>
      <c r="G8" s="19" t="n">
        <v>20</v>
      </c>
      <c r="H8" s="19" t="n">
        <v>6</v>
      </c>
      <c r="I8" s="116" t="n"/>
      <c r="J8" s="116" t="n"/>
      <c r="K8" s="19" t="n">
        <v>540</v>
      </c>
      <c r="L8" s="19">
        <f>F7*G7*J7</f>
        <v/>
      </c>
      <c r="M8" s="19" t="n">
        <v>0</v>
      </c>
      <c r="N8" s="28" t="n">
        <v>452</v>
      </c>
      <c r="O8" s="28" t="n">
        <v>48</v>
      </c>
      <c r="P8" s="28" t="n"/>
      <c r="Q8" s="28" t="n"/>
      <c r="R8" s="28" t="n"/>
      <c r="S8" s="28" t="n"/>
      <c r="T8" s="28" t="n"/>
      <c r="U8" s="28" t="n"/>
      <c r="V8" s="28" t="n"/>
      <c r="W8" s="28" t="n"/>
      <c r="X8" s="28" t="n"/>
      <c r="Y8" s="28" t="n"/>
      <c r="Z8" s="28" t="n"/>
      <c r="AA8" s="28" t="n"/>
      <c r="AB8" s="28" t="n"/>
      <c r="AC8" s="28" t="n"/>
      <c r="AD8" s="28" t="n"/>
      <c r="AE8" s="28" t="n"/>
      <c r="AF8" s="28" t="n"/>
      <c r="AG8" s="28" t="n"/>
      <c r="AH8" s="28" t="n"/>
      <c r="AI8" s="28" t="n"/>
      <c r="AJ8" s="28" t="n"/>
      <c r="AK8" s="28" t="n"/>
      <c r="AL8" s="28" t="n"/>
      <c r="AM8" s="28" t="n"/>
      <c r="AN8" s="28" t="n"/>
      <c r="AO8" s="28" t="n"/>
      <c r="AP8" s="28" t="n"/>
      <c r="AQ8" s="28" t="n"/>
      <c r="AR8" s="28" t="n"/>
      <c r="AS8" s="28" t="n"/>
      <c r="AT8" s="28" t="n"/>
      <c r="AU8" s="28" t="n"/>
      <c r="AV8" s="28" t="n"/>
      <c r="AW8" s="28" t="n"/>
      <c r="AX8" s="28" t="n"/>
      <c r="AY8" s="28" t="n"/>
      <c r="AZ8" s="28" t="n"/>
      <c r="BA8" s="28" t="n"/>
      <c r="BB8" s="28" t="n"/>
      <c r="BC8" s="28" t="n"/>
      <c r="BD8" s="28" t="n"/>
      <c r="BE8" s="28" t="n"/>
      <c r="BF8" s="28" t="n"/>
      <c r="BG8" s="28" t="n"/>
      <c r="BH8" s="28" t="n"/>
      <c r="BI8" s="28" t="n"/>
      <c r="BJ8" s="28" t="n"/>
      <c r="BK8" s="28" t="n"/>
      <c r="BL8" s="28" t="n"/>
      <c r="BM8" s="28" t="n"/>
      <c r="BN8" s="28" t="n"/>
      <c r="BO8" s="28" t="n"/>
      <c r="BP8" s="28" t="n"/>
      <c r="BQ8" s="28" t="n"/>
    </row>
    <row r="9" ht="15.5" customHeight="1" s="91">
      <c r="A9" s="19" t="inlineStr">
        <is>
          <t>1.3.01.616</t>
        </is>
      </c>
      <c r="B9" s="19" t="inlineStr">
        <is>
          <t>CR268017</t>
        </is>
      </c>
      <c r="C9" s="19" t="n"/>
      <c r="D9" s="19" t="inlineStr">
        <is>
          <t>WO-ZZ00020385</t>
        </is>
      </c>
      <c r="E9" s="21" t="inlineStr">
        <is>
          <t>VALUI八字尿片L码(IP5935)(16片*8包)  (CU000177)</t>
        </is>
      </c>
      <c r="F9" t="inlineStr">
        <is>
          <t>L</t>
        </is>
      </c>
      <c r="G9" s="19" t="n">
        <v>16</v>
      </c>
      <c r="H9" s="19" t="n">
        <v>4</v>
      </c>
      <c r="I9" s="116" t="n">
        <v>46101</v>
      </c>
      <c r="J9" s="116" t="n">
        <v>46153</v>
      </c>
      <c r="K9" s="19" t="n">
        <v>1000</v>
      </c>
      <c r="L9" s="19">
        <f>F8*G8*J8</f>
        <v/>
      </c>
      <c r="M9" s="19" t="n">
        <v>0</v>
      </c>
      <c r="N9" s="28" t="n"/>
      <c r="O9" s="28" t="n">
        <v>1000</v>
      </c>
      <c r="P9" s="28" t="n"/>
      <c r="Q9" s="28" t="n"/>
      <c r="R9" s="28" t="n"/>
      <c r="S9" s="28" t="n"/>
      <c r="T9" s="28" t="n"/>
      <c r="U9" s="28" t="n"/>
      <c r="V9" s="28" t="n"/>
      <c r="W9" s="28" t="n"/>
      <c r="X9" s="28" t="n"/>
      <c r="Y9" s="28" t="n"/>
      <c r="Z9" s="28" t="n"/>
      <c r="AA9" s="28" t="n"/>
      <c r="AB9" s="28" t="n"/>
      <c r="AC9" s="28" t="n"/>
      <c r="AD9" s="28" t="n"/>
      <c r="AE9" s="28" t="n"/>
      <c r="AF9" s="28" t="n"/>
      <c r="AG9" s="28" t="n"/>
      <c r="AH9" s="28" t="n"/>
      <c r="AI9" s="28" t="n"/>
      <c r="AJ9" s="28" t="n"/>
      <c r="AK9" s="28" t="n"/>
      <c r="AL9" s="28" t="n"/>
      <c r="AM9" s="28" t="n"/>
      <c r="AN9" s="28" t="n"/>
      <c r="AO9" s="28" t="n"/>
      <c r="AP9" s="28" t="n"/>
      <c r="AQ9" s="28" t="n"/>
      <c r="AR9" s="28" t="n"/>
      <c r="AS9" s="28" t="n"/>
      <c r="AT9" s="28" t="n"/>
      <c r="AU9" s="28" t="n"/>
      <c r="AV9" s="28" t="n"/>
      <c r="AW9" s="28" t="n"/>
      <c r="AX9" s="28" t="n"/>
      <c r="AY9" s="28" t="n"/>
      <c r="AZ9" s="28" t="n"/>
      <c r="BA9" s="28" t="n"/>
      <c r="BB9" s="28" t="n"/>
      <c r="BC9" s="28" t="n"/>
      <c r="BD9" s="28" t="n"/>
      <c r="BE9" s="28" t="n"/>
      <c r="BF9" s="28" t="n"/>
      <c r="BG9" s="28" t="n"/>
      <c r="BH9" s="28" t="n"/>
      <c r="BI9" s="28" t="n"/>
      <c r="BJ9" s="28" t="n"/>
      <c r="BK9" s="28" t="n"/>
      <c r="BL9" s="28" t="n"/>
      <c r="BM9" s="28" t="n"/>
      <c r="BN9" s="28" t="n"/>
      <c r="BO9" s="28" t="n"/>
      <c r="BP9" s="28" t="n"/>
      <c r="BQ9" s="28" t="n"/>
    </row>
    <row r="10" ht="15.5" customHeight="1" s="91">
      <c r="A10" s="19" t="inlineStr">
        <is>
          <t>1.3.01.619</t>
        </is>
      </c>
      <c r="B10" s="19" t="inlineStr">
        <is>
          <t>CR268017</t>
        </is>
      </c>
      <c r="C10" s="19" t="n"/>
      <c r="D10" s="19" t="inlineStr">
        <is>
          <t>WO-ZZ00020386</t>
        </is>
      </c>
      <c r="E10" s="21" t="inlineStr">
        <is>
          <t>VALUI八字尿片XL码(IP6935M)(16片*4包)  (CU000177)</t>
        </is>
      </c>
      <c r="F10" t="inlineStr">
        <is>
          <t>XL</t>
        </is>
      </c>
      <c r="G10" s="19" t="n">
        <v>16</v>
      </c>
      <c r="H10" s="19" t="n">
        <v>4</v>
      </c>
      <c r="I10" s="116" t="n">
        <v>46101</v>
      </c>
      <c r="J10" s="116" t="n">
        <v>46153</v>
      </c>
      <c r="K10" s="19" t="n">
        <v>500</v>
      </c>
      <c r="L10" s="19">
        <f>F9*G9*J9</f>
        <v/>
      </c>
      <c r="M10" s="19" t="n">
        <v>0</v>
      </c>
      <c r="N10" s="28" t="n"/>
      <c r="O10" s="28" t="n">
        <v>6</v>
      </c>
      <c r="P10" s="28" t="n">
        <v>494</v>
      </c>
      <c r="Q10" s="28" t="n"/>
      <c r="R10" s="28" t="n"/>
      <c r="S10" s="28" t="n"/>
      <c r="T10" s="28" t="n"/>
      <c r="U10" s="28" t="n"/>
      <c r="V10" s="28" t="n"/>
      <c r="W10" s="28" t="n"/>
      <c r="X10" s="28" t="n"/>
      <c r="Y10" s="28" t="n"/>
      <c r="Z10" s="28" t="n"/>
      <c r="AA10" s="28" t="n"/>
      <c r="AB10" s="28" t="n"/>
      <c r="AC10" s="28" t="n"/>
      <c r="AD10" s="28" t="n"/>
      <c r="AE10" s="28" t="n"/>
      <c r="AF10" s="28" t="n"/>
      <c r="AG10" s="28" t="n"/>
      <c r="AH10" s="28" t="n"/>
      <c r="AI10" s="28" t="n"/>
      <c r="AJ10" s="28" t="n"/>
      <c r="AK10" s="28" t="n"/>
      <c r="AL10" s="28" t="n"/>
      <c r="AM10" s="28" t="n"/>
      <c r="AN10" s="28" t="n"/>
      <c r="AO10" s="28" t="n"/>
      <c r="AP10" s="28" t="n"/>
      <c r="AQ10" s="28" t="n"/>
      <c r="AR10" s="28" t="n"/>
      <c r="AS10" s="28" t="n"/>
      <c r="AT10" s="28" t="n"/>
      <c r="AU10" s="28" t="n"/>
      <c r="AV10" s="28" t="n"/>
      <c r="AW10" s="28" t="n"/>
      <c r="AX10" s="28" t="n"/>
      <c r="AY10" s="28" t="n"/>
      <c r="AZ10" s="28" t="n"/>
      <c r="BA10" s="28" t="n"/>
      <c r="BB10" s="28" t="n"/>
      <c r="BC10" s="28" t="n"/>
      <c r="BD10" s="28" t="n"/>
      <c r="BE10" s="28" t="n"/>
      <c r="BF10" s="28" t="n"/>
      <c r="BG10" s="28" t="n"/>
      <c r="BH10" s="28" t="n"/>
      <c r="BI10" s="28" t="n"/>
      <c r="BJ10" s="28" t="n"/>
      <c r="BK10" s="28" t="n"/>
      <c r="BL10" s="28" t="n"/>
      <c r="BM10" s="28" t="n"/>
      <c r="BN10" s="28" t="n"/>
      <c r="BO10" s="28" t="n"/>
      <c r="BP10" s="28" t="n"/>
      <c r="BQ10" s="28" t="n"/>
    </row>
    <row r="11" ht="15.5" customHeight="1" s="91">
      <c r="A11" s="19" t="inlineStr">
        <is>
          <t>1.3.01.618</t>
        </is>
      </c>
      <c r="B11" s="19" t="inlineStr">
        <is>
          <t>CR268017</t>
        </is>
      </c>
      <c r="C11" s="19" t="n"/>
      <c r="D11" s="19" t="inlineStr">
        <is>
          <t>WO-ZZ00020387</t>
        </is>
      </c>
      <c r="E11" s="21" t="inlineStr">
        <is>
          <t>VALUI八字尿片XL码(IP6935S)(16片*6包)  (CU000177)</t>
        </is>
      </c>
      <c r="F11" t="inlineStr">
        <is>
          <t>XL</t>
        </is>
      </c>
      <c r="G11" s="19" t="n">
        <v>16</v>
      </c>
      <c r="H11" s="19" t="n">
        <v>6</v>
      </c>
      <c r="I11" s="116" t="n">
        <v>46101</v>
      </c>
      <c r="J11" s="116" t="n">
        <v>46153</v>
      </c>
      <c r="K11" s="19" t="n">
        <v>1600</v>
      </c>
      <c r="L11" s="19">
        <f>F10*G10*J10</f>
        <v/>
      </c>
      <c r="M11" s="19" t="n">
        <v>0</v>
      </c>
      <c r="N11" s="28" t="n"/>
      <c r="O11" s="28" t="n"/>
      <c r="P11" s="28" t="n">
        <v>401</v>
      </c>
      <c r="Q11" s="28" t="n">
        <v>730</v>
      </c>
      <c r="R11" s="28" t="n"/>
      <c r="S11" s="28" t="n">
        <v>469</v>
      </c>
      <c r="T11" s="28" t="n"/>
      <c r="U11" s="28" t="n"/>
      <c r="V11" s="28" t="n"/>
      <c r="W11" s="28" t="n"/>
      <c r="X11" s="28" t="n"/>
      <c r="Y11" s="28" t="n"/>
      <c r="Z11" s="28" t="n"/>
      <c r="AA11" s="28" t="n"/>
      <c r="AB11" s="28" t="n"/>
      <c r="AC11" s="28" t="n"/>
      <c r="AD11" s="28" t="n"/>
      <c r="AE11" s="28" t="n"/>
      <c r="AF11" s="28" t="n"/>
      <c r="AG11" s="28" t="n"/>
      <c r="AH11" s="28" t="n"/>
      <c r="AI11" s="28" t="n"/>
      <c r="AJ11" s="28" t="n"/>
      <c r="AK11" s="28" t="n"/>
      <c r="AL11" s="28" t="n"/>
      <c r="AM11" s="28" t="n"/>
      <c r="AN11" s="28" t="n"/>
      <c r="AO11" s="28" t="n"/>
      <c r="AP11" s="28" t="n"/>
      <c r="AQ11" s="28" t="n"/>
      <c r="AR11" s="28" t="n"/>
      <c r="AS11" s="28" t="n"/>
      <c r="AT11" s="28" t="n"/>
      <c r="AU11" s="28" t="n"/>
      <c r="AV11" s="28" t="n"/>
      <c r="AW11" s="28" t="n"/>
      <c r="AX11" s="28" t="n"/>
      <c r="AY11" s="28" t="n"/>
      <c r="AZ11" s="28" t="n"/>
      <c r="BA11" s="28" t="n"/>
      <c r="BB11" s="28" t="n"/>
      <c r="BC11" s="28" t="n"/>
      <c r="BD11" s="28" t="n"/>
      <c r="BE11" s="28" t="n"/>
      <c r="BF11" s="28" t="n"/>
      <c r="BG11" s="28" t="n"/>
      <c r="BH11" s="28" t="n"/>
      <c r="BI11" s="28" t="n"/>
      <c r="BJ11" s="28" t="n"/>
      <c r="BK11" s="28" t="n"/>
      <c r="BL11" s="28" t="n"/>
      <c r="BM11" s="28" t="n"/>
      <c r="BN11" s="28" t="n"/>
      <c r="BO11" s="28" t="n"/>
      <c r="BP11" s="28" t="n"/>
      <c r="BQ11" s="28" t="n"/>
    </row>
    <row r="12" ht="16" customHeight="1" s="91">
      <c r="A12" s="19" t="inlineStr">
        <is>
          <t>1.3.01.617</t>
        </is>
      </c>
      <c r="B12" s="19" t="inlineStr">
        <is>
          <t>CR268017</t>
        </is>
      </c>
      <c r="C12" s="19" t="n"/>
      <c r="D12" s="19" t="inlineStr">
        <is>
          <t>WO-ZZ00020384</t>
        </is>
      </c>
      <c r="E12" s="21" t="inlineStr">
        <is>
          <t>VALUI八字尿片L码(IP5935M)(16片*8包)  (CU000177)</t>
        </is>
      </c>
      <c r="F12" t="inlineStr">
        <is>
          <t>L</t>
        </is>
      </c>
      <c r="G12" s="19" t="n">
        <v>16</v>
      </c>
      <c r="H12" s="19" t="n">
        <v>8</v>
      </c>
      <c r="I12" s="116" t="n">
        <v>46101</v>
      </c>
      <c r="J12" s="116" t="n">
        <v>46153</v>
      </c>
      <c r="K12" s="19" t="n">
        <v>300</v>
      </c>
      <c r="L12" s="19">
        <f>F11*G11*J11</f>
        <v/>
      </c>
      <c r="M12" s="19" t="n">
        <v>0</v>
      </c>
      <c r="N12" s="28" t="n"/>
      <c r="O12" s="28" t="n"/>
      <c r="P12" s="28" t="n"/>
      <c r="Q12" s="28" t="n"/>
      <c r="R12" s="28" t="n"/>
      <c r="S12" s="28" t="n">
        <v>196</v>
      </c>
      <c r="T12" s="28" t="n">
        <v>104</v>
      </c>
      <c r="U12" s="28" t="n"/>
      <c r="V12" s="28" t="n"/>
      <c r="W12" s="28" t="n"/>
      <c r="X12" s="28" t="n"/>
      <c r="Y12" s="28" t="n"/>
      <c r="Z12" s="28" t="n"/>
      <c r="AA12" s="28" t="n"/>
      <c r="AB12" s="28" t="n"/>
      <c r="AC12" s="28" t="n"/>
      <c r="AD12" s="28" t="n"/>
      <c r="AE12" s="28" t="n"/>
      <c r="AF12" s="28" t="n"/>
      <c r="AG12" s="28" t="n"/>
      <c r="AH12" s="28" t="n"/>
      <c r="AI12" s="28" t="n"/>
      <c r="AJ12" s="28" t="n"/>
      <c r="AK12" s="28" t="n"/>
      <c r="AL12" s="28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8" t="n"/>
      <c r="BA12" s="28" t="n"/>
      <c r="BB12" s="28" t="n"/>
      <c r="BC12" s="28" t="n"/>
      <c r="BD12" s="28" t="n"/>
      <c r="BE12" s="28" t="n"/>
      <c r="BF12" s="28" t="n"/>
      <c r="BG12" s="28" t="n"/>
      <c r="BH12" s="28" t="n"/>
      <c r="BI12" s="28" t="n"/>
      <c r="BJ12" s="28" t="n"/>
      <c r="BK12" s="28" t="n"/>
      <c r="BL12" s="28" t="n"/>
      <c r="BM12" s="28" t="n"/>
      <c r="BN12" s="28" t="n"/>
      <c r="BO12" s="28" t="n"/>
      <c r="BP12" s="28" t="n"/>
      <c r="BQ12" s="28" t="n"/>
    </row>
    <row r="13" ht="17.5" customHeight="1" s="91">
      <c r="A13" s="35" t="inlineStr">
        <is>
          <t>1.3.03.205</t>
        </is>
      </c>
      <c r="B13" s="35" t="n"/>
      <c r="C13" s="35" t="inlineStr">
        <is>
          <t>NM-20260424001</t>
        </is>
      </c>
      <c r="D13" s="35" t="inlineStr">
        <is>
          <t>WO-ZZ00020691</t>
        </is>
      </c>
      <c r="E13" s="21" t="inlineStr">
        <is>
          <t>珍琦SUNKISS增强系列成人8字尿片L码（10片*12包）</t>
        </is>
      </c>
      <c r="F13" t="inlineStr">
        <is>
          <t>L</t>
        </is>
      </c>
      <c r="G13" s="19" t="n">
        <v>10</v>
      </c>
      <c r="H13" s="19" t="n">
        <v>12</v>
      </c>
      <c r="I13" s="116" t="n">
        <v>46136</v>
      </c>
      <c r="J13" s="117" t="n">
        <v>46166</v>
      </c>
      <c r="K13" s="19" t="n">
        <v>420</v>
      </c>
      <c r="L13" s="19">
        <f>F12*G12*J12</f>
        <v/>
      </c>
      <c r="M13" s="47" t="n">
        <v>0</v>
      </c>
      <c r="N13" s="28" t="n"/>
      <c r="O13" s="28" t="n"/>
      <c r="P13" s="28" t="n"/>
      <c r="Q13" s="28" t="n"/>
      <c r="R13" s="28" t="n"/>
      <c r="S13" s="28" t="n"/>
      <c r="T13" s="28" t="n">
        <v>420</v>
      </c>
      <c r="U13" s="28" t="n"/>
      <c r="V13" s="28" t="n"/>
      <c r="W13" s="28" t="n"/>
      <c r="X13" s="28" t="n"/>
      <c r="Y13" s="28" t="n"/>
      <c r="Z13" s="28" t="n"/>
      <c r="AA13" s="28" t="n"/>
      <c r="AB13" s="28" t="n"/>
      <c r="AC13" s="28" t="n"/>
      <c r="AD13" s="28" t="n"/>
      <c r="AE13" s="28" t="n"/>
      <c r="AF13" s="28" t="n"/>
      <c r="AG13" s="28" t="n"/>
      <c r="AH13" s="28" t="n"/>
      <c r="AI13" s="28" t="n"/>
      <c r="AJ13" s="28" t="n"/>
      <c r="AK13" s="28" t="n"/>
      <c r="AL13" s="28" t="n"/>
      <c r="AM13" s="28" t="n"/>
      <c r="AN13" s="28" t="n"/>
      <c r="AO13" s="28" t="n"/>
      <c r="AP13" s="28" t="n"/>
      <c r="AQ13" s="28" t="n"/>
      <c r="AR13" s="28" t="n"/>
      <c r="AS13" s="28" t="n"/>
      <c r="AT13" s="28" t="n"/>
      <c r="AU13" s="28" t="n"/>
      <c r="AV13" s="28" t="n"/>
      <c r="AW13" s="28" t="n"/>
      <c r="AX13" s="28" t="n"/>
      <c r="AY13" s="28" t="n"/>
      <c r="AZ13" s="28" t="n"/>
      <c r="BA13" s="28" t="n"/>
      <c r="BB13" s="28" t="n"/>
      <c r="BC13" s="28" t="n"/>
      <c r="BD13" s="28" t="n"/>
      <c r="BE13" s="28" t="n"/>
      <c r="BF13" s="28" t="n"/>
      <c r="BG13" s="28" t="n"/>
      <c r="BH13" s="28" t="n"/>
      <c r="BI13" s="28" t="n"/>
      <c r="BJ13" s="28" t="n"/>
      <c r="BK13" s="28" t="n"/>
      <c r="BL13" s="28" t="n"/>
      <c r="BM13" s="28" t="n"/>
      <c r="BN13" s="28" t="n"/>
      <c r="BO13" s="28" t="n"/>
      <c r="BP13" s="28" t="n"/>
      <c r="BQ13" s="28" t="n"/>
    </row>
    <row r="14" ht="17.5" customHeight="1" s="91">
      <c r="A14" s="35" t="inlineStr">
        <is>
          <t>1.3.03.205</t>
        </is>
      </c>
      <c r="B14" s="35" t="n"/>
      <c r="C14" s="35" t="n"/>
      <c r="D14" s="35" t="inlineStr">
        <is>
          <t>WO-ZZ00020692</t>
        </is>
      </c>
      <c r="E14" s="21" t="inlineStr">
        <is>
          <t>珍琦SUNKISS增强系列成人8字尿片L码（10片*12包）</t>
        </is>
      </c>
      <c r="F14" t="inlineStr">
        <is>
          <t>L</t>
        </is>
      </c>
      <c r="G14" s="19" t="n">
        <v>10</v>
      </c>
      <c r="H14" s="19" t="n">
        <v>12</v>
      </c>
      <c r="I14" s="116" t="n">
        <v>46139</v>
      </c>
      <c r="J14" s="117" t="n">
        <v>46169</v>
      </c>
      <c r="K14" s="19" t="n">
        <v>400</v>
      </c>
      <c r="L14" s="19">
        <f>F13*G13*J13</f>
        <v/>
      </c>
      <c r="M14" s="47" t="n">
        <v>0</v>
      </c>
      <c r="N14" s="28" t="n"/>
      <c r="O14" s="28" t="n"/>
      <c r="P14" s="28" t="n"/>
      <c r="Q14" s="28" t="n"/>
      <c r="R14" s="28" t="n"/>
      <c r="S14" s="28" t="n"/>
      <c r="T14" s="28" t="n">
        <v>53</v>
      </c>
      <c r="U14" s="28" t="n">
        <v>347</v>
      </c>
      <c r="V14" s="28" t="n"/>
      <c r="W14" s="28" t="n"/>
      <c r="X14" s="28" t="n"/>
      <c r="Y14" s="28" t="n"/>
      <c r="Z14" s="28" t="n"/>
      <c r="AA14" s="28" t="n"/>
      <c r="AB14" s="28" t="n"/>
      <c r="AC14" s="28" t="n"/>
      <c r="AD14" s="28" t="n"/>
      <c r="AE14" s="28" t="n"/>
      <c r="AF14" s="28" t="n"/>
      <c r="AG14" s="28" t="n"/>
      <c r="AH14" s="28" t="n"/>
      <c r="AI14" s="28" t="n"/>
      <c r="AJ14" s="28" t="n"/>
      <c r="AK14" s="28" t="n"/>
      <c r="AL14" s="28" t="n"/>
      <c r="AM14" s="28" t="n"/>
      <c r="AN14" s="28" t="n"/>
      <c r="AO14" s="28" t="n"/>
      <c r="AP14" s="28" t="n"/>
      <c r="AQ14" s="28" t="n"/>
      <c r="AR14" s="28" t="n"/>
      <c r="AS14" s="28" t="n"/>
      <c r="AT14" s="28" t="n"/>
      <c r="AU14" s="28" t="n"/>
      <c r="AV14" s="28" t="n"/>
      <c r="AW14" s="28" t="n"/>
      <c r="AX14" s="28" t="n"/>
      <c r="AY14" s="28" t="n"/>
      <c r="AZ14" s="28" t="n"/>
      <c r="BA14" s="28" t="n"/>
      <c r="BB14" s="28" t="n"/>
      <c r="BC14" s="28" t="n"/>
      <c r="BD14" s="28" t="n"/>
      <c r="BE14" s="28" t="n"/>
      <c r="BF14" s="28" t="n"/>
      <c r="BG14" s="28" t="n"/>
      <c r="BH14" s="28" t="n"/>
      <c r="BI14" s="28" t="n"/>
      <c r="BJ14" s="28" t="n"/>
      <c r="BK14" s="28" t="n"/>
      <c r="BL14" s="28" t="n"/>
      <c r="BM14" s="28" t="n"/>
      <c r="BN14" s="28" t="n"/>
      <c r="BO14" s="28" t="n"/>
      <c r="BP14" s="28" t="n"/>
      <c r="BQ14" s="28" t="n"/>
    </row>
    <row r="15" ht="17.5" customHeight="1" s="91">
      <c r="A15" s="35" t="inlineStr">
        <is>
          <t>1.3.03.206</t>
        </is>
      </c>
      <c r="B15" s="35" t="n"/>
      <c r="C15" s="35" t="inlineStr">
        <is>
          <t>NM-20260210-001</t>
        </is>
      </c>
      <c r="D15" s="35" t="inlineStr">
        <is>
          <t>WO-ZZ00020693</t>
        </is>
      </c>
      <c r="E15" s="21" t="inlineStr">
        <is>
          <t>贴静舒爽系列成人8字尿片L码（20片*6包）</t>
        </is>
      </c>
      <c r="F15" t="inlineStr">
        <is>
          <t>L</t>
        </is>
      </c>
      <c r="G15" s="19" t="n">
        <v>20</v>
      </c>
      <c r="H15" s="19" t="n">
        <v>6</v>
      </c>
      <c r="I15" s="116" t="n">
        <v>46139</v>
      </c>
      <c r="J15" s="117" t="n">
        <v>46169</v>
      </c>
      <c r="K15" s="19" t="n">
        <v>760</v>
      </c>
      <c r="L15" s="19">
        <f>F14*G14*J14</f>
        <v/>
      </c>
      <c r="M15" s="47" t="n">
        <v>0</v>
      </c>
      <c r="N15" s="28" t="n"/>
      <c r="O15" s="28" t="n"/>
      <c r="P15" s="28" t="n"/>
      <c r="Q15" s="28" t="n"/>
      <c r="R15" s="28" t="n"/>
      <c r="S15" s="28" t="n"/>
      <c r="T15" s="28" t="n"/>
      <c r="U15" s="28" t="n">
        <v>237</v>
      </c>
      <c r="V15" s="28" t="n">
        <v>563</v>
      </c>
      <c r="W15" s="28" t="n"/>
      <c r="X15" s="28" t="n"/>
      <c r="Y15" s="28" t="n"/>
      <c r="Z15" s="28" t="n"/>
      <c r="AA15" s="28" t="n"/>
      <c r="AB15" s="28" t="n"/>
      <c r="AC15" s="28" t="n"/>
      <c r="AD15" s="28" t="n"/>
      <c r="AE15" s="28" t="n"/>
      <c r="AF15" s="28" t="n"/>
      <c r="AG15" s="28" t="n"/>
      <c r="AH15" s="28" t="n"/>
      <c r="AI15" s="28" t="n"/>
      <c r="AJ15" s="28" t="n"/>
      <c r="AK15" s="28" t="n"/>
      <c r="AL15" s="28" t="n"/>
      <c r="AM15" s="28" t="n"/>
      <c r="AN15" s="28" t="n"/>
      <c r="AO15" s="28" t="n"/>
      <c r="AP15" s="28" t="n"/>
      <c r="AQ15" s="28" t="n"/>
      <c r="AR15" s="28" t="n"/>
      <c r="AS15" s="28" t="n"/>
      <c r="AT15" s="28" t="n"/>
      <c r="AU15" s="28" t="n"/>
      <c r="AV15" s="28" t="n"/>
      <c r="AW15" s="28" t="n"/>
      <c r="AX15" s="28" t="n"/>
      <c r="AY15" s="28" t="n"/>
      <c r="AZ15" s="28" t="n"/>
      <c r="BA15" s="28" t="n"/>
      <c r="BB15" s="28" t="n"/>
      <c r="BC15" s="28" t="n"/>
      <c r="BD15" s="28" t="n"/>
      <c r="BE15" s="28" t="n"/>
      <c r="BF15" s="28" t="n"/>
      <c r="BG15" s="28" t="n"/>
      <c r="BH15" s="28" t="n"/>
      <c r="BI15" s="28" t="n"/>
      <c r="BJ15" s="28" t="n"/>
      <c r="BK15" s="28" t="n"/>
      <c r="BL15" s="28" t="n"/>
      <c r="BM15" s="28" t="n"/>
      <c r="BN15" s="28" t="n"/>
      <c r="BO15" s="28" t="n"/>
      <c r="BP15" s="28" t="n"/>
      <c r="BQ15" s="28" t="n"/>
    </row>
    <row r="16" ht="15.5" customHeight="1" s="91">
      <c r="A16" s="35" t="inlineStr">
        <is>
          <t>1.3.02.631</t>
        </is>
      </c>
      <c r="B16" s="35" t="n"/>
      <c r="C16" s="35" t="n"/>
      <c r="D16" s="35" t="inlineStr">
        <is>
          <t>WO-ZZ00020694</t>
        </is>
      </c>
      <c r="E16" s="21" t="inlineStr">
        <is>
          <t>贴静舒爽系列成人8字尿片M码（20片*6包）</t>
        </is>
      </c>
      <c r="F16" t="inlineStr">
        <is>
          <t>M</t>
        </is>
      </c>
      <c r="G16" s="19" t="n">
        <v>20</v>
      </c>
      <c r="H16" s="19" t="n">
        <v>6</v>
      </c>
      <c r="I16" s="116" t="n">
        <v>46139</v>
      </c>
      <c r="J16" s="117" t="n">
        <v>46169</v>
      </c>
      <c r="K16" s="19" t="n">
        <v>200</v>
      </c>
      <c r="L16" s="19">
        <f>F15*G15*J15</f>
        <v/>
      </c>
      <c r="M16" s="47" t="n">
        <v>0</v>
      </c>
      <c r="N16" s="28" t="n"/>
      <c r="O16" s="28" t="n"/>
      <c r="P16" s="28" t="n"/>
      <c r="Q16" s="28" t="n"/>
      <c r="R16" s="28" t="n"/>
      <c r="S16" s="28" t="n"/>
      <c r="T16" s="28" t="n"/>
      <c r="U16" s="28" t="n"/>
      <c r="V16" s="28" t="n">
        <v>21</v>
      </c>
      <c r="W16" s="28" t="n">
        <v>179</v>
      </c>
      <c r="X16" s="28" t="n"/>
      <c r="Y16" s="28" t="n"/>
      <c r="Z16" s="28" t="n"/>
      <c r="AA16" s="28" t="n"/>
      <c r="AB16" s="28" t="n"/>
      <c r="AC16" s="28" t="n"/>
      <c r="AD16" s="28" t="n"/>
      <c r="AE16" s="28" t="n"/>
      <c r="AF16" s="28" t="n"/>
      <c r="AG16" s="28" t="n"/>
      <c r="AH16" s="28" t="n"/>
      <c r="AI16" s="28" t="n"/>
      <c r="AJ16" s="28" t="n"/>
      <c r="AK16" s="28" t="n"/>
      <c r="AL16" s="28" t="n"/>
      <c r="AM16" s="28" t="n"/>
      <c r="AN16" s="28" t="n"/>
      <c r="AO16" s="28" t="n"/>
      <c r="AP16" s="28" t="n"/>
      <c r="AQ16" s="28" t="n"/>
      <c r="AR16" s="28" t="n"/>
      <c r="AS16" s="28" t="n"/>
      <c r="AT16" s="28" t="n"/>
      <c r="AU16" s="28" t="n"/>
      <c r="AV16" s="28" t="n"/>
      <c r="AW16" s="28" t="n"/>
      <c r="AX16" s="28" t="n"/>
      <c r="AY16" s="28" t="n"/>
      <c r="AZ16" s="28" t="n"/>
      <c r="BA16" s="28" t="n"/>
      <c r="BB16" s="28" t="n"/>
      <c r="BC16" s="28" t="n"/>
      <c r="BD16" s="28" t="n"/>
      <c r="BE16" s="28" t="n"/>
      <c r="BF16" s="28" t="n"/>
      <c r="BG16" s="28" t="n"/>
      <c r="BH16" s="28" t="n"/>
      <c r="BI16" s="28" t="n"/>
      <c r="BJ16" s="28" t="n"/>
      <c r="BK16" s="28" t="n"/>
      <c r="BL16" s="28" t="n"/>
      <c r="BM16" s="28" t="n"/>
      <c r="BN16" s="28" t="n"/>
      <c r="BO16" s="28" t="n"/>
      <c r="BP16" s="28" t="n"/>
      <c r="BQ16" s="28" t="n"/>
    </row>
    <row r="17" ht="20" customHeight="1" s="91">
      <c r="A17" s="19" t="inlineStr">
        <is>
          <t>1.3.03.208</t>
        </is>
      </c>
      <c r="B17" s="19" t="n"/>
      <c r="C17" s="19" t="n"/>
      <c r="D17" s="19" t="n"/>
      <c r="E17" s="21" t="inlineStr">
        <is>
          <t>贴静舒爽系列成人尿片L码82x28cm（10片*12包）大白袋装</t>
        </is>
      </c>
      <c r="F17" t="inlineStr">
        <is>
          <t>L</t>
        </is>
      </c>
      <c r="G17" s="19" t="n">
        <v>10</v>
      </c>
      <c r="H17" s="19" t="n">
        <v>12</v>
      </c>
      <c r="I17" s="116" t="n"/>
      <c r="J17" s="116" t="n"/>
      <c r="K17" s="19" t="n">
        <v>610</v>
      </c>
      <c r="L17" s="19">
        <f>F16*G16*J16</f>
        <v/>
      </c>
      <c r="M17" s="19" t="n">
        <v>0</v>
      </c>
      <c r="N17" s="28" t="n"/>
      <c r="O17" s="28" t="n"/>
      <c r="P17" s="28" t="n"/>
      <c r="Q17" s="28" t="n"/>
      <c r="R17" s="28" t="n"/>
      <c r="S17" s="28" t="n"/>
      <c r="T17" s="28" t="n"/>
      <c r="U17" s="28" t="n"/>
      <c r="V17" s="28" t="n"/>
      <c r="W17" s="28" t="n">
        <v>132</v>
      </c>
      <c r="X17" s="28" t="n"/>
      <c r="Y17" s="28" t="n"/>
      <c r="Z17" s="28" t="n"/>
      <c r="AA17" s="28" t="n"/>
      <c r="AB17" s="28" t="n"/>
      <c r="AC17" s="28" t="n"/>
      <c r="AD17" s="28" t="n"/>
      <c r="AE17" s="28" t="n"/>
      <c r="AF17" s="28" t="n"/>
      <c r="AG17" s="28" t="n"/>
      <c r="AH17" s="28" t="n"/>
      <c r="AI17" s="28" t="n"/>
      <c r="AJ17" s="28" t="n"/>
      <c r="AK17" s="28" t="n"/>
      <c r="AL17" s="28" t="n"/>
      <c r="AM17" s="28" t="n"/>
      <c r="AN17" s="28" t="n"/>
      <c r="AO17" s="28" t="n"/>
      <c r="AP17" s="28" t="n"/>
      <c r="AQ17" s="28" t="n"/>
      <c r="AR17" s="28" t="n"/>
      <c r="AS17" s="28" t="n"/>
      <c r="AT17" s="28" t="n"/>
      <c r="AU17" s="28" t="n"/>
      <c r="AV17" s="28" t="n"/>
      <c r="AW17" s="28" t="n"/>
      <c r="AX17" s="28" t="n"/>
      <c r="AY17" s="28" t="n"/>
      <c r="AZ17" s="28" t="n"/>
      <c r="BA17" s="28" t="n"/>
      <c r="BB17" s="28" t="n"/>
      <c r="BC17" s="28" t="n"/>
      <c r="BD17" s="28" t="n"/>
      <c r="BE17" s="28" t="n"/>
      <c r="BF17" s="28" t="n"/>
      <c r="BG17" s="28" t="n"/>
      <c r="BH17" s="28" t="n"/>
      <c r="BI17" s="28" t="n"/>
      <c r="BJ17" s="28" t="n"/>
      <c r="BK17" s="28" t="n"/>
      <c r="BL17" s="28" t="n"/>
      <c r="BM17" s="28" t="n"/>
      <c r="BN17" s="28" t="n"/>
      <c r="BO17" s="28" t="n"/>
      <c r="BP17" s="28" t="n"/>
      <c r="BQ17" s="28" t="n"/>
    </row>
  </sheetData>
  <mergeCells count="3">
    <mergeCell ref="A1:H4"/>
    <mergeCell ref="I3:J4"/>
    <mergeCell ref="F5:G5"/>
  </mergeCells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  <pageSetup orientation="portrait" paperSize="9"/>
</worksheet>
</file>

<file path=xl/worksheets/sheet8.xml><?xml version="1.0" encoding="utf-8"?>
<worksheet xmlns="http://schemas.openxmlformats.org/spreadsheetml/2006/main">
  <sheetPr codeName="Sheet6">
    <outlinePr summaryBelow="1" summaryRight="1"/>
    <pageSetUpPr/>
  </sheetPr>
  <dimension ref="A1:BQ20"/>
  <sheetViews>
    <sheetView showGridLines="0" zoomScale="70" zoomScaleNormal="70" workbookViewId="0">
      <pane xSplit="12" ySplit="5" topLeftCell="M6" activePane="bottomRight" state="frozen"/>
      <selection pane="topRight" activeCell="A1" sqref="A1"/>
      <selection pane="bottomLeft" activeCell="A1" sqref="A1"/>
      <selection pane="bottomRight" activeCell="R13" sqref="R13"/>
    </sheetView>
  </sheetViews>
  <sheetFormatPr baseColWidth="10" defaultColWidth="8.83203125" defaultRowHeight="15"/>
  <cols>
    <col width="16" customWidth="1" style="91" min="1" max="1"/>
    <col width="18.33203125" customWidth="1" style="91" min="2" max="2"/>
    <col width="23.83203125" customWidth="1" style="91" min="3" max="3"/>
    <col width="19.1640625" customWidth="1" style="3" min="4" max="4"/>
    <col width="68" customWidth="1" style="91" min="5" max="5"/>
    <col width="6.5" customWidth="1" style="91" min="6" max="6"/>
    <col width="6.83203125" customWidth="1" style="91" min="7" max="7"/>
    <col width="11.83203125" customWidth="1" style="3" min="8" max="8"/>
    <col width="14.1640625" customWidth="1" style="3" min="9" max="9"/>
    <col width="9.6640625" customWidth="1" style="91" min="10" max="10"/>
    <col width="11.6640625" customWidth="1" style="91" min="11" max="11"/>
    <col width="12.83203125" customWidth="1" style="91" min="12" max="12"/>
    <col width="9" customWidth="1" style="91" min="13" max="38"/>
  </cols>
  <sheetData>
    <row r="1" ht="16.25" customFormat="1" customHeight="1" s="101">
      <c r="A1" s="100" t="inlineStr">
        <is>
          <t>UP-1#床垫</t>
        </is>
      </c>
      <c r="J1" s="4" t="inlineStr">
        <is>
          <t>单班</t>
        </is>
      </c>
      <c r="K1" s="4" t="n">
        <v>70125</v>
      </c>
      <c r="L1" s="5" t="inlineStr">
        <is>
          <t>未排产计划</t>
        </is>
      </c>
      <c r="M1" s="107" t="n"/>
    </row>
    <row r="2" ht="16.25" customFormat="1" customHeight="1" s="101">
      <c r="J2" s="4" t="inlineStr">
        <is>
          <t>双班</t>
        </is>
      </c>
      <c r="K2" s="4" t="n">
        <v>127500</v>
      </c>
      <c r="L2" s="5" t="inlineStr">
        <is>
          <t>4月排产计划</t>
        </is>
      </c>
      <c r="M2" s="108">
        <f>SUM(#REF!)</f>
        <v/>
      </c>
      <c r="N2" s="125" t="inlineStr">
        <is>
          <t>单</t>
        </is>
      </c>
      <c r="O2" s="125" t="inlineStr">
        <is>
          <t>单</t>
        </is>
      </c>
      <c r="P2" s="125" t="inlineStr">
        <is>
          <t>单</t>
        </is>
      </c>
      <c r="Q2" s="125" t="inlineStr">
        <is>
          <t>单</t>
        </is>
      </c>
      <c r="R2" s="125" t="inlineStr"/>
      <c r="S2" s="125" t="inlineStr">
        <is>
          <t>单</t>
        </is>
      </c>
      <c r="T2" s="125" t="inlineStr">
        <is>
          <t>单</t>
        </is>
      </c>
      <c r="U2" s="125" t="inlineStr">
        <is>
          <t>单</t>
        </is>
      </c>
      <c r="V2" s="125" t="inlineStr">
        <is>
          <t>单</t>
        </is>
      </c>
      <c r="W2" s="125" t="inlineStr">
        <is>
          <t>单</t>
        </is>
      </c>
      <c r="X2" s="125" t="inlineStr">
        <is>
          <t>单</t>
        </is>
      </c>
      <c r="Y2" s="125" t="inlineStr"/>
      <c r="Z2" s="125" t="inlineStr">
        <is>
          <t>单</t>
        </is>
      </c>
      <c r="AA2" s="125" t="inlineStr">
        <is>
          <t>单</t>
        </is>
      </c>
      <c r="AB2" s="125" t="inlineStr">
        <is>
          <t>单</t>
        </is>
      </c>
      <c r="AC2" s="125" t="inlineStr">
        <is>
          <t>单</t>
        </is>
      </c>
      <c r="AD2" s="125" t="inlineStr">
        <is>
          <t>单</t>
        </is>
      </c>
      <c r="AE2" s="125" t="inlineStr">
        <is>
          <t>单</t>
        </is>
      </c>
      <c r="AF2" s="125" t="inlineStr"/>
      <c r="AG2" s="125" t="inlineStr">
        <is>
          <t>单</t>
        </is>
      </c>
      <c r="AH2" s="125" t="inlineStr">
        <is>
          <t>单</t>
        </is>
      </c>
      <c r="AI2" s="125" t="inlineStr">
        <is>
          <t>单</t>
        </is>
      </c>
      <c r="AJ2" s="125" t="inlineStr">
        <is>
          <t>单</t>
        </is>
      </c>
      <c r="AK2" s="125" t="inlineStr">
        <is>
          <t>单</t>
        </is>
      </c>
      <c r="AL2" s="125" t="inlineStr">
        <is>
          <t>单</t>
        </is>
      </c>
      <c r="AM2" s="125" t="inlineStr"/>
      <c r="AN2" s="125" t="inlineStr">
        <is>
          <t>单</t>
        </is>
      </c>
      <c r="AO2" s="125" t="inlineStr">
        <is>
          <t>单</t>
        </is>
      </c>
      <c r="AP2" s="125" t="inlineStr">
        <is>
          <t>单</t>
        </is>
      </c>
      <c r="AQ2" s="125" t="inlineStr">
        <is>
          <t>单</t>
        </is>
      </c>
      <c r="AR2" s="125" t="inlineStr">
        <is>
          <t>单</t>
        </is>
      </c>
      <c r="AS2" s="125" t="inlineStr">
        <is>
          <t>单</t>
        </is>
      </c>
      <c r="AT2" s="125" t="inlineStr"/>
      <c r="AU2" s="125" t="inlineStr">
        <is>
          <t>单</t>
        </is>
      </c>
      <c r="AV2" s="125" t="inlineStr">
        <is>
          <t>单</t>
        </is>
      </c>
      <c r="AW2" s="125" t="inlineStr">
        <is>
          <t>单</t>
        </is>
      </c>
      <c r="AX2" s="125" t="inlineStr">
        <is>
          <t>单</t>
        </is>
      </c>
      <c r="AY2" s="125" t="inlineStr">
        <is>
          <t>单</t>
        </is>
      </c>
      <c r="AZ2" s="125" t="inlineStr">
        <is>
          <t>单</t>
        </is>
      </c>
      <c r="BA2" s="125" t="inlineStr"/>
      <c r="BB2" s="125" t="inlineStr">
        <is>
          <t>单</t>
        </is>
      </c>
      <c r="BC2" s="125" t="inlineStr">
        <is>
          <t>单</t>
        </is>
      </c>
      <c r="BD2" s="125" t="inlineStr">
        <is>
          <t>单</t>
        </is>
      </c>
      <c r="BE2" s="125" t="inlineStr">
        <is>
          <t>单</t>
        </is>
      </c>
      <c r="BF2" s="125" t="inlineStr">
        <is>
          <t>单</t>
        </is>
      </c>
      <c r="BG2" s="125" t="inlineStr">
        <is>
          <t>单</t>
        </is>
      </c>
      <c r="BH2" s="125" t="inlineStr"/>
      <c r="BI2" s="125" t="inlineStr">
        <is>
          <t>单</t>
        </is>
      </c>
      <c r="BJ2" s="125" t="inlineStr">
        <is>
          <t>单</t>
        </is>
      </c>
      <c r="BK2" s="125" t="inlineStr">
        <is>
          <t>单</t>
        </is>
      </c>
      <c r="BL2" s="125" t="inlineStr">
        <is>
          <t>单</t>
        </is>
      </c>
      <c r="BM2" s="125" t="inlineStr">
        <is>
          <t>单</t>
        </is>
      </c>
      <c r="BN2" s="125" t="inlineStr">
        <is>
          <t>单</t>
        </is>
      </c>
      <c r="BO2" s="125" t="inlineStr">
        <is>
          <t>单</t>
        </is>
      </c>
      <c r="BP2" s="125" t="inlineStr">
        <is>
          <t>单</t>
        </is>
      </c>
      <c r="BQ2" s="125" t="inlineStr">
        <is>
          <t>单</t>
        </is>
      </c>
    </row>
    <row r="3" ht="16.25" customFormat="1" customHeight="1" s="101">
      <c r="J3" s="102" t="n"/>
      <c r="K3" s="103" t="n"/>
      <c r="N3" s="0">
        <f>MAX(0,ROWS(UNIQUE(FILTER($F7:$F20,(N7:N20&gt;0)*($F7:$F20&lt;&gt;""))))-1)*IF(N2="双",VLOOKUP($A$1,'换码设置'!$A:$C,2,FALSE),IF(N2="单",VLOOKUP($A$1,'换码设置'!$A:$C,3,FALSE),0))</f>
        <v/>
      </c>
      <c r="O3" s="0">
        <f>MAX(0,ROWS(UNIQUE(FILTER($F7:$F20,(O7:O20&gt;0)*($F7:$F20&lt;&gt;""))))-1)*IF(O2="双",VLOOKUP($A$1,'换码设置'!$A:$C,2,FALSE),IF(O2="单",VLOOKUP($A$1,'换码设置'!$A:$C,3,FALSE),0))</f>
        <v/>
      </c>
      <c r="P3" s="0">
        <f>MAX(0,ROWS(UNIQUE(FILTER($F7:$F20,(P7:P20&gt;0)*($F7:$F20&lt;&gt;""))))-1)*IF(P2="双",VLOOKUP($A$1,'换码设置'!$A:$C,2,FALSE),IF(P2="单",VLOOKUP($A$1,'换码设置'!$A:$C,3,FALSE),0))</f>
        <v/>
      </c>
      <c r="Q3" s="0">
        <f>MAX(0,ROWS(UNIQUE(FILTER($F7:$F20,(Q7:Q20&gt;0)*($F7:$F20&lt;&gt;""))))-1)*IF(Q2="双",VLOOKUP($A$1,'换码设置'!$A:$C,2,FALSE),IF(Q2="单",VLOOKUP($A$1,'换码设置'!$A:$C,3,FALSE),0))</f>
        <v/>
      </c>
      <c r="R3" s="0">
        <f>MAX(0,ROWS(UNIQUE(FILTER($F7:$F20,(R7:R20&gt;0)*($F7:$F20&lt;&gt;""))))-1)*IF(R2="双",VLOOKUP($A$1,'换码设置'!$A:$C,2,FALSE),IF(R2="单",VLOOKUP($A$1,'换码设置'!$A:$C,3,FALSE),0))</f>
        <v/>
      </c>
      <c r="S3" s="0">
        <f>MAX(0,ROWS(UNIQUE(FILTER($F7:$F20,(S7:S20&gt;0)*($F7:$F20&lt;&gt;""))))-1)*IF(S2="双",VLOOKUP($A$1,'换码设置'!$A:$C,2,FALSE),IF(S2="单",VLOOKUP($A$1,'换码设置'!$A:$C,3,FALSE),0))</f>
        <v/>
      </c>
      <c r="T3" s="0">
        <f>MAX(0,ROWS(UNIQUE(FILTER($F7:$F20,(T7:T20&gt;0)*($F7:$F20&lt;&gt;""))))-1)*IF(T2="双",VLOOKUP($A$1,'换码设置'!$A:$C,2,FALSE),IF(T2="单",VLOOKUP($A$1,'换码设置'!$A:$C,3,FALSE),0))</f>
        <v/>
      </c>
      <c r="U3" s="0">
        <f>MAX(0,ROWS(UNIQUE(FILTER($F7:$F20,(U7:U20&gt;0)*($F7:$F20&lt;&gt;""))))-1)*IF(U2="双",VLOOKUP($A$1,'换码设置'!$A:$C,2,FALSE),IF(U2="单",VLOOKUP($A$1,'换码设置'!$A:$C,3,FALSE),0))</f>
        <v/>
      </c>
      <c r="V3" s="0">
        <f>MAX(0,ROWS(UNIQUE(FILTER($F7:$F20,(V7:V20&gt;0)*($F7:$F20&lt;&gt;""))))-1)*IF(V2="双",VLOOKUP($A$1,'换码设置'!$A:$C,2,FALSE),IF(V2="单",VLOOKUP($A$1,'换码设置'!$A:$C,3,FALSE),0))</f>
        <v/>
      </c>
      <c r="W3" s="0">
        <f>MAX(0,ROWS(UNIQUE(FILTER($F7:$F20,(W7:W20&gt;0)*($F7:$F20&lt;&gt;""))))-1)*IF(W2="双",VLOOKUP($A$1,'换码设置'!$A:$C,2,FALSE),IF(W2="单",VLOOKUP($A$1,'换码设置'!$A:$C,3,FALSE),0))</f>
        <v/>
      </c>
      <c r="X3" s="0">
        <f>MAX(0,ROWS(UNIQUE(FILTER($F7:$F20,(X7:X20&gt;0)*($F7:$F20&lt;&gt;""))))-1)*IF(X2="双",VLOOKUP($A$1,'换码设置'!$A:$C,2,FALSE),IF(X2="单",VLOOKUP($A$1,'换码设置'!$A:$C,3,FALSE),0))</f>
        <v/>
      </c>
      <c r="Y3" s="0">
        <f>MAX(0,ROWS(UNIQUE(FILTER($F7:$F20,(Y7:Y20&gt;0)*($F7:$F20&lt;&gt;""))))-1)*IF(Y2="双",VLOOKUP($A$1,'换码设置'!$A:$C,2,FALSE),IF(Y2="单",VLOOKUP($A$1,'换码设置'!$A:$C,3,FALSE),0))</f>
        <v/>
      </c>
      <c r="Z3" s="0">
        <f>MAX(0,ROWS(UNIQUE(FILTER($F7:$F20,(Z7:Z20&gt;0)*($F7:$F20&lt;&gt;""))))-1)*IF(Z2="双",VLOOKUP($A$1,'换码设置'!$A:$C,2,FALSE),IF(Z2="单",VLOOKUP($A$1,'换码设置'!$A:$C,3,FALSE),0))</f>
        <v/>
      </c>
      <c r="AA3" s="0">
        <f>MAX(0,ROWS(UNIQUE(FILTER($F7:$F20,(AA7:AA20&gt;0)*($F7:$F20&lt;&gt;""))))-1)*IF(AA2="双",VLOOKUP($A$1,'换码设置'!$A:$C,2,FALSE),IF(AA2="单",VLOOKUP($A$1,'换码设置'!$A:$C,3,FALSE),0))</f>
        <v/>
      </c>
      <c r="AB3" s="0">
        <f>MAX(0,ROWS(UNIQUE(FILTER($F7:$F20,(AB7:AB20&gt;0)*($F7:$F20&lt;&gt;""))))-1)*IF(AB2="双",VLOOKUP($A$1,'换码设置'!$A:$C,2,FALSE),IF(AB2="单",VLOOKUP($A$1,'换码设置'!$A:$C,3,FALSE),0))</f>
        <v/>
      </c>
      <c r="AC3" s="0">
        <f>MAX(0,ROWS(UNIQUE(FILTER($F7:$F20,(AC7:AC20&gt;0)*($F7:$F20&lt;&gt;""))))-1)*IF(AC2="双",VLOOKUP($A$1,'换码设置'!$A:$C,2,FALSE),IF(AC2="单",VLOOKUP($A$1,'换码设置'!$A:$C,3,FALSE),0))</f>
        <v/>
      </c>
      <c r="AD3" s="0">
        <f>MAX(0,ROWS(UNIQUE(FILTER($F7:$F20,(AD7:AD20&gt;0)*($F7:$F20&lt;&gt;""))))-1)*IF(AD2="双",VLOOKUP($A$1,'换码设置'!$A:$C,2,FALSE),IF(AD2="单",VLOOKUP($A$1,'换码设置'!$A:$C,3,FALSE),0))</f>
        <v/>
      </c>
      <c r="AE3" s="0">
        <f>MAX(0,ROWS(UNIQUE(FILTER($F7:$F20,(AE7:AE20&gt;0)*($F7:$F20&lt;&gt;""))))-1)*IF(AE2="双",VLOOKUP($A$1,'换码设置'!$A:$C,2,FALSE),IF(AE2="单",VLOOKUP($A$1,'换码设置'!$A:$C,3,FALSE),0))</f>
        <v/>
      </c>
      <c r="AF3" s="0">
        <f>MAX(0,ROWS(UNIQUE(FILTER($F7:$F20,(AF7:AF20&gt;0)*($F7:$F20&lt;&gt;""))))-1)*IF(AF2="双",VLOOKUP($A$1,'换码设置'!$A:$C,2,FALSE),IF(AF2="单",VLOOKUP($A$1,'换码设置'!$A:$C,3,FALSE),0))</f>
        <v/>
      </c>
      <c r="AG3" s="0">
        <f>MAX(0,ROWS(UNIQUE(FILTER($F7:$F20,(AG7:AG20&gt;0)*($F7:$F20&lt;&gt;""))))-1)*IF(AG2="双",VLOOKUP($A$1,'换码设置'!$A:$C,2,FALSE),IF(AG2="单",VLOOKUP($A$1,'换码设置'!$A:$C,3,FALSE),0))</f>
        <v/>
      </c>
      <c r="AH3" s="0">
        <f>MAX(0,ROWS(UNIQUE(FILTER($F7:$F20,(AH7:AH20&gt;0)*($F7:$F20&lt;&gt;""))))-1)*IF(AH2="双",VLOOKUP($A$1,'换码设置'!$A:$C,2,FALSE),IF(AH2="单",VLOOKUP($A$1,'换码设置'!$A:$C,3,FALSE),0))</f>
        <v/>
      </c>
      <c r="AI3" s="0">
        <f>MAX(0,ROWS(UNIQUE(FILTER($F7:$F20,(AI7:AI20&gt;0)*($F7:$F20&lt;&gt;""))))-1)*IF(AI2="双",VLOOKUP($A$1,'换码设置'!$A:$C,2,FALSE),IF(AI2="单",VLOOKUP($A$1,'换码设置'!$A:$C,3,FALSE),0))</f>
        <v/>
      </c>
      <c r="AJ3" s="0">
        <f>MAX(0,ROWS(UNIQUE(FILTER($F7:$F20,(AJ7:AJ20&gt;0)*($F7:$F20&lt;&gt;""))))-1)*IF(AJ2="双",VLOOKUP($A$1,'换码设置'!$A:$C,2,FALSE),IF(AJ2="单",VLOOKUP($A$1,'换码设置'!$A:$C,3,FALSE),0))</f>
        <v/>
      </c>
      <c r="AK3" s="0">
        <f>MAX(0,ROWS(UNIQUE(FILTER($F7:$F20,(AK7:AK20&gt;0)*($F7:$F20&lt;&gt;""))))-1)*IF(AK2="双",VLOOKUP($A$1,'换码设置'!$A:$C,2,FALSE),IF(AK2="单",VLOOKUP($A$1,'换码设置'!$A:$C,3,FALSE),0))</f>
        <v/>
      </c>
      <c r="AL3" s="0">
        <f>MAX(0,ROWS(UNIQUE(FILTER($F7:$F20,(AL7:AL20&gt;0)*($F7:$F20&lt;&gt;""))))-1)*IF(AL2="双",VLOOKUP($A$1,'换码设置'!$A:$C,2,FALSE),IF(AL2="单",VLOOKUP($A$1,'换码设置'!$A:$C,3,FALSE),0))</f>
        <v/>
      </c>
      <c r="AM3" s="0">
        <f>MAX(0,ROWS(UNIQUE(FILTER($F7:$F20,(AM7:AM20&gt;0)*($F7:$F20&lt;&gt;""))))-1)*IF(AM2="双",VLOOKUP($A$1,'换码设置'!$A:$C,2,FALSE),IF(AM2="单",VLOOKUP($A$1,'换码设置'!$A:$C,3,FALSE),0))</f>
        <v/>
      </c>
      <c r="AN3" s="0">
        <f>MAX(0,ROWS(UNIQUE(FILTER($F7:$F20,(AN7:AN20&gt;0)*($F7:$F20&lt;&gt;""))))-1)*IF(AN2="双",VLOOKUP($A$1,'换码设置'!$A:$C,2,FALSE),IF(AN2="单",VLOOKUP($A$1,'换码设置'!$A:$C,3,FALSE),0))</f>
        <v/>
      </c>
      <c r="AO3" s="0">
        <f>MAX(0,ROWS(UNIQUE(FILTER($F7:$F20,(AO7:AO20&gt;0)*($F7:$F20&lt;&gt;""))))-1)*IF(AO2="双",VLOOKUP($A$1,'换码设置'!$A:$C,2,FALSE),IF(AO2="单",VLOOKUP($A$1,'换码设置'!$A:$C,3,FALSE),0))</f>
        <v/>
      </c>
      <c r="AP3" s="0">
        <f>MAX(0,ROWS(UNIQUE(FILTER($F7:$F20,(AP7:AP20&gt;0)*($F7:$F20&lt;&gt;""))))-1)*IF(AP2="双",VLOOKUP($A$1,'换码设置'!$A:$C,2,FALSE),IF(AP2="单",VLOOKUP($A$1,'换码设置'!$A:$C,3,FALSE),0))</f>
        <v/>
      </c>
      <c r="AQ3" s="0">
        <f>MAX(0,ROWS(UNIQUE(FILTER($F7:$F20,(AQ7:AQ20&gt;0)*($F7:$F20&lt;&gt;""))))-1)*IF(AQ2="双",VLOOKUP($A$1,'换码设置'!$A:$C,2,FALSE),IF(AQ2="单",VLOOKUP($A$1,'换码设置'!$A:$C,3,FALSE),0))</f>
        <v/>
      </c>
      <c r="AR3" s="0">
        <f>MAX(0,ROWS(UNIQUE(FILTER($F7:$F20,(AR7:AR20&gt;0)*($F7:$F20&lt;&gt;""))))-1)*IF(AR2="双",VLOOKUP($A$1,'换码设置'!$A:$C,2,FALSE),IF(AR2="单",VLOOKUP($A$1,'换码设置'!$A:$C,3,FALSE),0))</f>
        <v/>
      </c>
      <c r="AS3" s="0">
        <f>MAX(0,ROWS(UNIQUE(FILTER($F7:$F20,(AS7:AS20&gt;0)*($F7:$F20&lt;&gt;""))))-1)*IF(AS2="双",VLOOKUP($A$1,'换码设置'!$A:$C,2,FALSE),IF(AS2="单",VLOOKUP($A$1,'换码设置'!$A:$C,3,FALSE),0))</f>
        <v/>
      </c>
      <c r="AT3" s="0">
        <f>MAX(0,ROWS(UNIQUE(FILTER($F7:$F20,(AT7:AT20&gt;0)*($F7:$F20&lt;&gt;""))))-1)*IF(AT2="双",VLOOKUP($A$1,'换码设置'!$A:$C,2,FALSE),IF(AT2="单",VLOOKUP($A$1,'换码设置'!$A:$C,3,FALSE),0))</f>
        <v/>
      </c>
      <c r="AU3" s="0">
        <f>MAX(0,ROWS(UNIQUE(FILTER($F7:$F20,(AU7:AU20&gt;0)*($F7:$F20&lt;&gt;""))))-1)*IF(AU2="双",VLOOKUP($A$1,'换码设置'!$A:$C,2,FALSE),IF(AU2="单",VLOOKUP($A$1,'换码设置'!$A:$C,3,FALSE),0))</f>
        <v/>
      </c>
      <c r="AV3" s="0">
        <f>MAX(0,ROWS(UNIQUE(FILTER($F7:$F20,(AV7:AV20&gt;0)*($F7:$F20&lt;&gt;""))))-1)*IF(AV2="双",VLOOKUP($A$1,'换码设置'!$A:$C,2,FALSE),IF(AV2="单",VLOOKUP($A$1,'换码设置'!$A:$C,3,FALSE),0))</f>
        <v/>
      </c>
      <c r="AW3" s="0">
        <f>MAX(0,ROWS(UNIQUE(FILTER($F7:$F20,(AW7:AW20&gt;0)*($F7:$F20&lt;&gt;""))))-1)*IF(AW2="双",VLOOKUP($A$1,'换码设置'!$A:$C,2,FALSE),IF(AW2="单",VLOOKUP($A$1,'换码设置'!$A:$C,3,FALSE),0))</f>
        <v/>
      </c>
      <c r="AX3" s="0">
        <f>MAX(0,ROWS(UNIQUE(FILTER($F7:$F20,(AX7:AX20&gt;0)*($F7:$F20&lt;&gt;""))))-1)*IF(AX2="双",VLOOKUP($A$1,'换码设置'!$A:$C,2,FALSE),IF(AX2="单",VLOOKUP($A$1,'换码设置'!$A:$C,3,FALSE),0))</f>
        <v/>
      </c>
      <c r="AY3" s="0">
        <f>MAX(0,ROWS(UNIQUE(FILTER($F7:$F20,(AY7:AY20&gt;0)*($F7:$F20&lt;&gt;""))))-1)*IF(AY2="双",VLOOKUP($A$1,'换码设置'!$A:$C,2,FALSE),IF(AY2="单",VLOOKUP($A$1,'换码设置'!$A:$C,3,FALSE),0))</f>
        <v/>
      </c>
      <c r="AZ3" s="0">
        <f>MAX(0,ROWS(UNIQUE(FILTER($F7:$F20,(AZ7:AZ20&gt;0)*($F7:$F20&lt;&gt;""))))-1)*IF(AZ2="双",VLOOKUP($A$1,'换码设置'!$A:$C,2,FALSE),IF(AZ2="单",VLOOKUP($A$1,'换码设置'!$A:$C,3,FALSE),0))</f>
        <v/>
      </c>
      <c r="BA3" s="0">
        <f>MAX(0,ROWS(UNIQUE(FILTER($F7:$F20,(BA7:BA20&gt;0)*($F7:$F20&lt;&gt;""))))-1)*IF(BA2="双",VLOOKUP($A$1,'换码设置'!$A:$C,2,FALSE),IF(BA2="单",VLOOKUP($A$1,'换码设置'!$A:$C,3,FALSE),0))</f>
        <v/>
      </c>
      <c r="BB3" s="0">
        <f>MAX(0,ROWS(UNIQUE(FILTER($F7:$F20,(BB7:BB20&gt;0)*($F7:$F20&lt;&gt;""))))-1)*IF(BB2="双",VLOOKUP($A$1,'换码设置'!$A:$C,2,FALSE),IF(BB2="单",VLOOKUP($A$1,'换码设置'!$A:$C,3,FALSE),0))</f>
        <v/>
      </c>
      <c r="BC3" s="0">
        <f>MAX(0,ROWS(UNIQUE(FILTER($F7:$F20,(BC7:BC20&gt;0)*($F7:$F20&lt;&gt;""))))-1)*IF(BC2="双",VLOOKUP($A$1,'换码设置'!$A:$C,2,FALSE),IF(BC2="单",VLOOKUP($A$1,'换码设置'!$A:$C,3,FALSE),0))</f>
        <v/>
      </c>
      <c r="BD3" s="0">
        <f>MAX(0,ROWS(UNIQUE(FILTER($F7:$F20,(BD7:BD20&gt;0)*($F7:$F20&lt;&gt;""))))-1)*IF(BD2="双",VLOOKUP($A$1,'换码设置'!$A:$C,2,FALSE),IF(BD2="单",VLOOKUP($A$1,'换码设置'!$A:$C,3,FALSE),0))</f>
        <v/>
      </c>
      <c r="BE3" s="0">
        <f>MAX(0,ROWS(UNIQUE(FILTER($F7:$F20,(BE7:BE20&gt;0)*($F7:$F20&lt;&gt;""))))-1)*IF(BE2="双",VLOOKUP($A$1,'换码设置'!$A:$C,2,FALSE),IF(BE2="单",VLOOKUP($A$1,'换码设置'!$A:$C,3,FALSE),0))</f>
        <v/>
      </c>
      <c r="BF3" s="0">
        <f>MAX(0,ROWS(UNIQUE(FILTER($F7:$F20,(BF7:BF20&gt;0)*($F7:$F20&lt;&gt;""))))-1)*IF(BF2="双",VLOOKUP($A$1,'换码设置'!$A:$C,2,FALSE),IF(BF2="单",VLOOKUP($A$1,'换码设置'!$A:$C,3,FALSE),0))</f>
        <v/>
      </c>
      <c r="BG3" s="0">
        <f>MAX(0,ROWS(UNIQUE(FILTER($F7:$F20,(BG7:BG20&gt;0)*($F7:$F20&lt;&gt;""))))-1)*IF(BG2="双",VLOOKUP($A$1,'换码设置'!$A:$C,2,FALSE),IF(BG2="单",VLOOKUP($A$1,'换码设置'!$A:$C,3,FALSE),0))</f>
        <v/>
      </c>
      <c r="BH3" s="0">
        <f>MAX(0,ROWS(UNIQUE(FILTER($F7:$F20,(BH7:BH20&gt;0)*($F7:$F20&lt;&gt;""))))-1)*IF(BH2="双",VLOOKUP($A$1,'换码设置'!$A:$C,2,FALSE),IF(BH2="单",VLOOKUP($A$1,'换码设置'!$A:$C,3,FALSE),0))</f>
        <v/>
      </c>
      <c r="BI3" s="0">
        <f>MAX(0,ROWS(UNIQUE(FILTER($F7:$F20,(BI7:BI20&gt;0)*($F7:$F20&lt;&gt;""))))-1)*IF(BI2="双",VLOOKUP($A$1,'换码设置'!$A:$C,2,FALSE),IF(BI2="单",VLOOKUP($A$1,'换码设置'!$A:$C,3,FALSE),0))</f>
        <v/>
      </c>
      <c r="BJ3" s="0">
        <f>MAX(0,ROWS(UNIQUE(FILTER($F7:$F20,(BJ7:BJ20&gt;0)*($F7:$F20&lt;&gt;""))))-1)*IF(BJ2="双",VLOOKUP($A$1,'换码设置'!$A:$C,2,FALSE),IF(BJ2="单",VLOOKUP($A$1,'换码设置'!$A:$C,3,FALSE),0))</f>
        <v/>
      </c>
      <c r="BK3" s="0">
        <f>MAX(0,ROWS(UNIQUE(FILTER($F7:$F20,(BK7:BK20&gt;0)*($F7:$F20&lt;&gt;""))))-1)*IF(BK2="双",VLOOKUP($A$1,'换码设置'!$A:$C,2,FALSE),IF(BK2="单",VLOOKUP($A$1,'换码设置'!$A:$C,3,FALSE),0))</f>
        <v/>
      </c>
      <c r="BL3" s="0">
        <f>MAX(0,ROWS(UNIQUE(FILTER($F7:$F20,(BL7:BL20&gt;0)*($F7:$F20&lt;&gt;""))))-1)*IF(BL2="双",VLOOKUP($A$1,'换码设置'!$A:$C,2,FALSE),IF(BL2="单",VLOOKUP($A$1,'换码设置'!$A:$C,3,FALSE),0))</f>
        <v/>
      </c>
      <c r="BM3" s="0">
        <f>MAX(0,ROWS(UNIQUE(FILTER($F7:$F20,(BM7:BM20&gt;0)*($F7:$F20&lt;&gt;""))))-1)*IF(BM2="双",VLOOKUP($A$1,'换码设置'!$A:$C,2,FALSE),IF(BM2="单",VLOOKUP($A$1,'换码设置'!$A:$C,3,FALSE),0))</f>
        <v/>
      </c>
      <c r="BN3" s="0">
        <f>MAX(0,ROWS(UNIQUE(FILTER($F7:$F20,(BN7:BN20&gt;0)*($F7:$F20&lt;&gt;""))))-1)*IF(BN2="双",VLOOKUP($A$1,'换码设置'!$A:$C,2,FALSE),IF(BN2="单",VLOOKUP($A$1,'换码设置'!$A:$C,3,FALSE),0))</f>
        <v/>
      </c>
      <c r="BO3" s="0">
        <f>MAX(0,ROWS(UNIQUE(FILTER($F7:$F20,(BO7:BO20&gt;0)*($F7:$F20&lt;&gt;""))))-1)*IF(BO2="双",VLOOKUP($A$1,'换码设置'!$A:$C,2,FALSE),IF(BO2="单",VLOOKUP($A$1,'换码设置'!$A:$C,3,FALSE),0))</f>
        <v/>
      </c>
      <c r="BP3" s="0">
        <f>MAX(0,ROWS(UNIQUE(FILTER($F7:$F20,(BP7:BP20&gt;0)*($F7:$F20&lt;&gt;""))))-1)*IF(BP2="双",VLOOKUP($A$1,'换码设置'!$A:$C,2,FALSE),IF(BP2="单",VLOOKUP($A$1,'换码设置'!$A:$C,3,FALSE),0))</f>
        <v/>
      </c>
      <c r="BQ3" s="0">
        <f>MAX(0,ROWS(UNIQUE(FILTER($F7:$F20,(BQ7:BQ20&gt;0)*($F7:$F20&lt;&gt;""))))-1)*IF(BQ2="双",VLOOKUP($A$1,'换码设置'!$A:$C,2,FALSE),IF(BQ2="单",VLOOKUP($A$1,'换码设置'!$A:$C,3,FALSE),0))</f>
        <v/>
      </c>
    </row>
    <row r="4" ht="16.25" customFormat="1" customHeight="1" s="101">
      <c r="K4" s="103" t="n"/>
      <c r="L4" s="5" t="inlineStr">
        <is>
          <t>5月排产计划</t>
        </is>
      </c>
      <c r="M4" s="108">
        <f>SUM(M5:AL5)</f>
        <v/>
      </c>
      <c r="N4" s="122" t="n">
        <v>46148</v>
      </c>
      <c r="O4" s="122" t="n">
        <v>46149</v>
      </c>
      <c r="P4" s="122" t="n">
        <v>46150</v>
      </c>
      <c r="Q4" s="122" t="n">
        <v>46151</v>
      </c>
      <c r="R4" s="122" t="n">
        <v>46152</v>
      </c>
      <c r="S4" s="122" t="n">
        <v>46153</v>
      </c>
      <c r="T4" s="122" t="n">
        <v>46154</v>
      </c>
      <c r="U4" s="122" t="n">
        <v>46155</v>
      </c>
      <c r="V4" s="122" t="n">
        <v>46156</v>
      </c>
      <c r="W4" s="122" t="n">
        <v>46157</v>
      </c>
      <c r="X4" s="122" t="n">
        <v>46158</v>
      </c>
      <c r="Y4" s="122" t="n">
        <v>46159</v>
      </c>
      <c r="Z4" s="122" t="n">
        <v>46160</v>
      </c>
      <c r="AA4" s="122" t="n">
        <v>46161</v>
      </c>
      <c r="AB4" s="122" t="n">
        <v>46162</v>
      </c>
      <c r="AC4" s="122" t="n">
        <v>46163</v>
      </c>
      <c r="AD4" s="122" t="n">
        <v>46164</v>
      </c>
      <c r="AE4" s="122" t="n">
        <v>46165</v>
      </c>
      <c r="AF4" s="122" t="n">
        <v>46166</v>
      </c>
      <c r="AG4" s="122" t="n">
        <v>46167</v>
      </c>
      <c r="AH4" s="122" t="n">
        <v>46168</v>
      </c>
      <c r="AI4" s="122" t="n">
        <v>46169</v>
      </c>
      <c r="AJ4" s="122" t="n">
        <v>46170</v>
      </c>
      <c r="AK4" s="122" t="n">
        <v>46171</v>
      </c>
      <c r="AL4" s="122" t="n">
        <v>46172</v>
      </c>
      <c r="AM4" s="122" t="n">
        <v>46173</v>
      </c>
      <c r="AN4" s="122" t="n">
        <v>46174</v>
      </c>
      <c r="AO4" s="122" t="n">
        <v>46175</v>
      </c>
      <c r="AP4" s="122" t="n">
        <v>46176</v>
      </c>
      <c r="AQ4" s="122" t="n">
        <v>46177</v>
      </c>
      <c r="AR4" s="122" t="n">
        <v>46178</v>
      </c>
      <c r="AS4" s="122" t="n">
        <v>46179</v>
      </c>
      <c r="AT4" s="122" t="n">
        <v>46180</v>
      </c>
      <c r="AU4" s="122" t="n">
        <v>46181</v>
      </c>
      <c r="AV4" s="122" t="n">
        <v>46182</v>
      </c>
      <c r="AW4" s="122" t="n">
        <v>46183</v>
      </c>
      <c r="AX4" s="122" t="n">
        <v>46184</v>
      </c>
      <c r="AY4" s="122" t="n">
        <v>46185</v>
      </c>
      <c r="AZ4" s="122" t="n">
        <v>46186</v>
      </c>
      <c r="BA4" s="122" t="n">
        <v>46187</v>
      </c>
      <c r="BB4" s="122" t="n">
        <v>46188</v>
      </c>
      <c r="BC4" s="122" t="n">
        <v>46189</v>
      </c>
      <c r="BD4" s="122" t="n">
        <v>46190</v>
      </c>
      <c r="BE4" s="122" t="n">
        <v>46191</v>
      </c>
      <c r="BF4" s="122" t="n">
        <v>46192</v>
      </c>
      <c r="BG4" s="122" t="n">
        <v>46193</v>
      </c>
      <c r="BH4" s="122" t="n">
        <v>46194</v>
      </c>
      <c r="BI4" s="122" t="n">
        <v>46195</v>
      </c>
      <c r="BJ4" s="122" t="n">
        <v>46196</v>
      </c>
      <c r="BK4" s="122" t="n">
        <v>46197</v>
      </c>
      <c r="BL4" s="122" t="n">
        <v>46198</v>
      </c>
      <c r="BM4" s="122" t="n">
        <v>46199</v>
      </c>
      <c r="BN4" s="122" t="n">
        <v>46200</v>
      </c>
      <c r="BO4" s="122" t="n">
        <v>46201</v>
      </c>
      <c r="BP4" s="122" t="n">
        <v>46202</v>
      </c>
      <c r="BQ4" s="122" t="n">
        <v>46203</v>
      </c>
    </row>
    <row r="5" ht="15.5" customFormat="1" customHeight="1" s="101">
      <c r="G5" s="101" t="n"/>
      <c r="J5" s="95" t="n"/>
      <c r="K5" s="96" t="n"/>
      <c r="L5" s="5" t="inlineStr">
        <is>
          <t>目前总共订单</t>
        </is>
      </c>
      <c r="M5" s="110">
        <f>SUM(L1:L3)</f>
        <v/>
      </c>
      <c r="N5" s="15">
        <f>IF(N2="单",$K$1,IF(N2="双",$K$2,0))-N3-N6</f>
        <v/>
      </c>
      <c r="O5" s="15">
        <f>IF(O2="单",$K$1,IF(O2="双",$K$2,0))-O3-O6</f>
        <v/>
      </c>
      <c r="P5" s="15">
        <f>IF(P2="单",$K$1,IF(P2="双",$K$2,0))-P3-P6</f>
        <v/>
      </c>
      <c r="Q5" s="15">
        <f>IF(Q2="单",$K$1,IF(Q2="双",$K$2,0))-Q3-Q6</f>
        <v/>
      </c>
      <c r="R5" s="15">
        <f>IF(R2="单",$K$1,IF(R2="双",$K$2,0))-R3-R6</f>
        <v/>
      </c>
      <c r="S5" s="15">
        <f>IF(S2="单",$K$1,IF(S2="双",$K$2,0))-S3-S6</f>
        <v/>
      </c>
      <c r="T5" s="15">
        <f>IF(T2="单",$K$1,IF(T2="双",$K$2,0))-T3-T6</f>
        <v/>
      </c>
      <c r="U5" s="15">
        <f>IF(U2="单",$K$1,IF(U2="双",$K$2,0))-U3-U6</f>
        <v/>
      </c>
      <c r="V5" s="15">
        <f>IF(V2="单",$K$1,IF(V2="双",$K$2,0))-V3-V6</f>
        <v/>
      </c>
      <c r="W5" s="15">
        <f>IF(W2="单",$K$1,IF(W2="双",$K$2,0))-W3-W6</f>
        <v/>
      </c>
      <c r="X5" s="15">
        <f>IF(X2="单",$K$1,IF(X2="双",$K$2,0))-X3-X6</f>
        <v/>
      </c>
      <c r="Y5" s="15">
        <f>IF(Y2="单",$K$1,IF(Y2="双",$K$2,0))-Y3-Y6</f>
        <v/>
      </c>
      <c r="Z5" s="15">
        <f>IF(Z2="单",$K$1,IF(Z2="双",$K$2,0))-Z3-Z6</f>
        <v/>
      </c>
      <c r="AA5" s="15">
        <f>IF(AA2="单",$K$1,IF(AA2="双",$K$2,0))-AA3-AA6</f>
        <v/>
      </c>
      <c r="AB5" s="15">
        <f>IF(AB2="单",$K$1,IF(AB2="双",$K$2,0))-AB3-AB6</f>
        <v/>
      </c>
      <c r="AC5" s="15">
        <f>IF(AC2="单",$K$1,IF(AC2="双",$K$2,0))-AC3-AC6</f>
        <v/>
      </c>
      <c r="AD5" s="15">
        <f>IF(AD2="单",$K$1,IF(AD2="双",$K$2,0))-AD3-AD6</f>
        <v/>
      </c>
      <c r="AE5" s="15">
        <f>IF(AE2="单",$K$1,IF(AE2="双",$K$2,0))-AE3-AE6</f>
        <v/>
      </c>
      <c r="AF5" s="15">
        <f>IF(AF2="单",$K$1,IF(AF2="双",$K$2,0))-AF3-AF6</f>
        <v/>
      </c>
      <c r="AG5" s="15">
        <f>IF(AG2="单",$K$1,IF(AG2="双",$K$2,0))-AG3-AG6</f>
        <v/>
      </c>
      <c r="AH5" s="15">
        <f>IF(AH2="单",$K$1,IF(AH2="双",$K$2,0))-AH3-AH6</f>
        <v/>
      </c>
      <c r="AI5" s="15">
        <f>IF(AI2="单",$K$1,IF(AI2="双",$K$2,0))-AI3-AI6</f>
        <v/>
      </c>
      <c r="AJ5" s="15">
        <f>IF(AJ2="单",$K$1,IF(AJ2="双",$K$2,0))-AJ3-AJ6</f>
        <v/>
      </c>
      <c r="AK5" s="15">
        <f>IF(AK2="单",$K$1,IF(AK2="双",$K$2,0))-AK3-AK6</f>
        <v/>
      </c>
      <c r="AL5" s="15">
        <f>IF(AL2="单",$K$1,IF(AL2="双",$K$2,0))-AL3-AL6</f>
        <v/>
      </c>
      <c r="AM5" s="15">
        <f>IF(AM2="单",$K$1,IF(AM2="双",$K$2,0))-AM3-AM6</f>
        <v/>
      </c>
      <c r="AN5" s="15">
        <f>IF(AN2="单",$K$1,IF(AN2="双",$K$2,0))-AN3-AN6</f>
        <v/>
      </c>
      <c r="AO5" s="15">
        <f>IF(AO2="单",$K$1,IF(AO2="双",$K$2,0))-AO3-AO6</f>
        <v/>
      </c>
      <c r="AP5" s="15">
        <f>IF(AP2="单",$K$1,IF(AP2="双",$K$2,0))-AP3-AP6</f>
        <v/>
      </c>
      <c r="AQ5" s="15">
        <f>IF(AQ2="单",$K$1,IF(AQ2="双",$K$2,0))-AQ3-AQ6</f>
        <v/>
      </c>
      <c r="AR5" s="15">
        <f>IF(AR2="单",$K$1,IF(AR2="双",$K$2,0))-AR3-AR6</f>
        <v/>
      </c>
      <c r="AS5" s="15">
        <f>IF(AS2="单",$K$1,IF(AS2="双",$K$2,0))-AS3-AS6</f>
        <v/>
      </c>
      <c r="AT5" s="15">
        <f>IF(AT2="单",$K$1,IF(AT2="双",$K$2,0))-AT3-AT6</f>
        <v/>
      </c>
      <c r="AU5" s="15">
        <f>IF(AU2="单",$K$1,IF(AU2="双",$K$2,0))-AU3-AU6</f>
        <v/>
      </c>
      <c r="AV5" s="15">
        <f>IF(AV2="单",$K$1,IF(AV2="双",$K$2,0))-AV3-AV6</f>
        <v/>
      </c>
      <c r="AW5" s="15">
        <f>IF(AW2="单",$K$1,IF(AW2="双",$K$2,0))-AW3-AW6</f>
        <v/>
      </c>
      <c r="AX5" s="15">
        <f>IF(AX2="单",$K$1,IF(AX2="双",$K$2,0))-AX3-AX6</f>
        <v/>
      </c>
      <c r="AY5" s="15">
        <f>IF(AY2="单",$K$1,IF(AY2="双",$K$2,0))-AY3-AY6</f>
        <v/>
      </c>
      <c r="AZ5" s="15">
        <f>IF(AZ2="单",$K$1,IF(AZ2="双",$K$2,0))-AZ3-AZ6</f>
        <v/>
      </c>
      <c r="BA5" s="15">
        <f>IF(BA2="单",$K$1,IF(BA2="双",$K$2,0))-BA3-BA6</f>
        <v/>
      </c>
      <c r="BB5" s="15">
        <f>IF(BB2="单",$K$1,IF(BB2="双",$K$2,0))-BB3-BB6</f>
        <v/>
      </c>
      <c r="BC5" s="15">
        <f>IF(BC2="单",$K$1,IF(BC2="双",$K$2,0))-BC3-BC6</f>
        <v/>
      </c>
      <c r="BD5" s="15">
        <f>IF(BD2="单",$K$1,IF(BD2="双",$K$2,0))-BD3-BD6</f>
        <v/>
      </c>
      <c r="BE5" s="15">
        <f>IF(BE2="单",$K$1,IF(BE2="双",$K$2,0))-BE3-BE6</f>
        <v/>
      </c>
      <c r="BF5" s="15">
        <f>IF(BF2="单",$K$1,IF(BF2="双",$K$2,0))-BF3-BF6</f>
        <v/>
      </c>
      <c r="BG5" s="15">
        <f>IF(BG2="单",$K$1,IF(BG2="双",$K$2,0))-BG3-BG6</f>
        <v/>
      </c>
      <c r="BH5" s="15">
        <f>IF(BH2="单",$K$1,IF(BH2="双",$K$2,0))-BH3-BH6</f>
        <v/>
      </c>
      <c r="BI5" s="15">
        <f>IF(BI2="单",$K$1,IF(BI2="双",$K$2,0))-BI3-BI6</f>
        <v/>
      </c>
      <c r="BJ5" s="15">
        <f>IF(BJ2="单",$K$1,IF(BJ2="双",$K$2,0))-BJ3-BJ6</f>
        <v/>
      </c>
      <c r="BK5" s="15">
        <f>IF(BK2="单",$K$1,IF(BK2="双",$K$2,0))-BK3-BK6</f>
        <v/>
      </c>
      <c r="BL5" s="15">
        <f>IF(BL2="单",$K$1,IF(BL2="双",$K$2,0))-BL3-BL6</f>
        <v/>
      </c>
      <c r="BM5" s="15">
        <f>IF(BM2="单",$K$1,IF(BM2="双",$K$2,0))-BM3-BM6</f>
        <v/>
      </c>
      <c r="BN5" s="15">
        <f>IF(BN2="单",$K$1,IF(BN2="双",$K$2,0))-BN3-BN6</f>
        <v/>
      </c>
      <c r="BO5" s="15">
        <f>IF(BO2="单",$K$1,IF(BO2="双",$K$2,0))-BO3-BO6</f>
        <v/>
      </c>
      <c r="BP5" s="15">
        <f>IF(BP2="单",$K$1,IF(BP2="双",$K$2,0))-BP3-BP6</f>
        <v/>
      </c>
      <c r="BQ5" s="15">
        <f>IF(BQ2="单",$K$1,IF(BQ2="双",$K$2,0))-BQ3-BQ6</f>
        <v/>
      </c>
    </row>
    <row r="6" ht="16" customHeight="1" s="91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t="inlineStr">
        <is>
          <t>尺码</t>
        </is>
      </c>
      <c r="G6" s="97" t="inlineStr">
        <is>
          <t>规格(p*b*z)</t>
        </is>
      </c>
      <c r="H6" s="98" t="n"/>
      <c r="I6" s="111" t="inlineStr">
        <is>
          <t>下单时间</t>
        </is>
      </c>
      <c r="J6" s="112" t="inlineStr">
        <is>
          <t>最晚交货时间</t>
        </is>
      </c>
      <c r="K6" s="15" t="inlineStr">
        <is>
          <t>下单箱数</t>
        </is>
      </c>
      <c r="L6" s="16" t="inlineStr">
        <is>
          <t>下单片数</t>
        </is>
      </c>
      <c r="M6" s="17" t="inlineStr">
        <is>
          <t>剩余排产</t>
        </is>
      </c>
      <c r="N6" s="31">
        <f>SUMPRODUCT($G7:$G9964,$H7:$H9964,N$7:N$9964)</f>
        <v/>
      </c>
      <c r="O6" s="31">
        <f>SUMPRODUCT($G7:$G9964,$H7:$H9964,O$7:O$9964)</f>
        <v/>
      </c>
      <c r="P6" s="31">
        <f>SUMPRODUCT($G7:$G9964,$H7:$H9964,P$7:P$9964)</f>
        <v/>
      </c>
      <c r="Q6" s="31">
        <f>SUMPRODUCT($G7:$G9964,$H7:$H9964,Q$7:Q$9964)</f>
        <v/>
      </c>
      <c r="R6" s="31">
        <f>SUMPRODUCT($G7:$G9964,$H7:$H9964,R$7:R$9964)</f>
        <v/>
      </c>
      <c r="S6" s="31">
        <f>SUMPRODUCT($G7:$G9964,$H7:$H9964,S$7:S$9964)</f>
        <v/>
      </c>
      <c r="T6" s="31">
        <f>SUMPRODUCT($G7:$G9964,$H7:$H9964,T$7:T$9964)</f>
        <v/>
      </c>
      <c r="U6" s="31">
        <f>SUMPRODUCT($G7:$G9964,$H7:$H9964,U$7:U$9964)</f>
        <v/>
      </c>
      <c r="V6" s="31">
        <f>SUMPRODUCT($G7:$G9964,$H7:$H9964,V$7:V$9964)</f>
        <v/>
      </c>
      <c r="W6" s="31">
        <f>SUMPRODUCT($G7:$G9964,$H7:$H9964,W$7:W$9964)</f>
        <v/>
      </c>
      <c r="X6" s="31">
        <f>SUMPRODUCT($G7:$G9964,$H7:$H9964,X$7:X$9964)</f>
        <v/>
      </c>
      <c r="Y6" s="31">
        <f>SUMPRODUCT($G7:$G9964,$H7:$H9964,Y$7:Y$9964)</f>
        <v/>
      </c>
      <c r="Z6" s="31">
        <f>SUMPRODUCT($G7:$G9964,$H7:$H9964,Z$7:Z$9964)</f>
        <v/>
      </c>
      <c r="AA6" s="31">
        <f>SUMPRODUCT($G7:$G9964,$H7:$H9964,AA$7:AA$9964)</f>
        <v/>
      </c>
      <c r="AB6" s="31">
        <f>SUMPRODUCT($G7:$G9964,$H7:$H9964,AB$7:AB$9964)</f>
        <v/>
      </c>
      <c r="AC6" s="31">
        <f>SUMPRODUCT($G7:$G9964,$H7:$H9964,AC$7:AC$9964)</f>
        <v/>
      </c>
      <c r="AD6" s="31">
        <f>SUMPRODUCT($G7:$G9964,$H7:$H9964,AD$7:AD$9964)</f>
        <v/>
      </c>
      <c r="AE6" s="31">
        <f>SUMPRODUCT($G7:$G9964,$H7:$H9964,AE$7:AE$9964)</f>
        <v/>
      </c>
      <c r="AF6" s="31">
        <f>SUMPRODUCT($G7:$G9964,$H7:$H9964,AF$7:AF$9964)</f>
        <v/>
      </c>
      <c r="AG6" s="31">
        <f>SUMPRODUCT($G7:$G9964,$H7:$H9964,AG$7:AG$9964)</f>
        <v/>
      </c>
      <c r="AH6" s="31">
        <f>SUMPRODUCT($G7:$G9964,$H7:$H9964,AH$7:AH$9964)</f>
        <v/>
      </c>
      <c r="AI6" s="31">
        <f>SUMPRODUCT($G7:$G9964,$H7:$H9964,AI$7:AI$9964)</f>
        <v/>
      </c>
      <c r="AJ6" s="31">
        <f>SUMPRODUCT($G7:$G9964,$H7:$H9964,AJ$7:AJ$9964)</f>
        <v/>
      </c>
      <c r="AK6" s="31">
        <f>SUMPRODUCT($G7:$G9964,$H7:$H9964,AK$7:AK$9964)</f>
        <v/>
      </c>
      <c r="AL6" s="31">
        <f>SUMPRODUCT($G7:$G9964,$H7:$H9964,AL$7:AL$9964)</f>
        <v/>
      </c>
      <c r="AM6" s="31">
        <f>SUMPRODUCT($G7:$G9964,$H7:$H9964,AM$7:AM$9964)</f>
        <v/>
      </c>
      <c r="AN6" s="31">
        <f>SUMPRODUCT($G7:$G9964,$H7:$H9964,AN$7:AN$9964)</f>
        <v/>
      </c>
      <c r="AO6" s="31">
        <f>SUMPRODUCT($G7:$G9964,$H7:$H9964,AO$7:AO$9964)</f>
        <v/>
      </c>
      <c r="AP6" s="31">
        <f>SUMPRODUCT($G7:$G9964,$H7:$H9964,AP$7:AP$9964)</f>
        <v/>
      </c>
      <c r="AQ6" s="31">
        <f>SUMPRODUCT($G7:$G9964,$H7:$H9964,AQ$7:AQ$9964)</f>
        <v/>
      </c>
      <c r="AR6" s="31">
        <f>SUMPRODUCT($G7:$G9964,$H7:$H9964,AR$7:AR$9964)</f>
        <v/>
      </c>
      <c r="AS6" s="31">
        <f>SUMPRODUCT($G7:$G9964,$H7:$H9964,AS$7:AS$9964)</f>
        <v/>
      </c>
      <c r="AT6" s="31">
        <f>SUMPRODUCT($G7:$G9964,$H7:$H9964,AT$7:AT$9964)</f>
        <v/>
      </c>
      <c r="AU6" s="31">
        <f>SUMPRODUCT($G7:$G9964,$H7:$H9964,AU$7:AU$9964)</f>
        <v/>
      </c>
      <c r="AV6" s="31">
        <f>SUMPRODUCT($G7:$G9964,$H7:$H9964,AV$7:AV$9964)</f>
        <v/>
      </c>
      <c r="AW6" s="31">
        <f>SUMPRODUCT($G7:$G9964,$H7:$H9964,AW$7:AW$9964)</f>
        <v/>
      </c>
      <c r="AX6" s="31">
        <f>SUMPRODUCT($G7:$G9964,$H7:$H9964,AX$7:AX$9964)</f>
        <v/>
      </c>
      <c r="AY6" s="31">
        <f>SUMPRODUCT($G7:$G9964,$H7:$H9964,AY$7:AY$9964)</f>
        <v/>
      </c>
      <c r="AZ6" s="31">
        <f>SUMPRODUCT($G7:$G9964,$H7:$H9964,AZ$7:AZ$9964)</f>
        <v/>
      </c>
      <c r="BA6" s="31">
        <f>SUMPRODUCT($G7:$G9964,$H7:$H9964,BA$7:BA$9964)</f>
        <v/>
      </c>
      <c r="BB6" s="31">
        <f>SUMPRODUCT($G7:$G9964,$H7:$H9964,BB$7:BB$9964)</f>
        <v/>
      </c>
      <c r="BC6" s="31">
        <f>SUMPRODUCT($G7:$G9964,$H7:$H9964,BC$7:BC$9964)</f>
        <v/>
      </c>
      <c r="BD6" s="31">
        <f>SUMPRODUCT($G7:$G9964,$H7:$H9964,BD$7:BD$9964)</f>
        <v/>
      </c>
      <c r="BE6" s="31">
        <f>SUMPRODUCT($G7:$G9964,$H7:$H9964,BE$7:BE$9964)</f>
        <v/>
      </c>
      <c r="BF6" s="31">
        <f>SUMPRODUCT($G7:$G9964,$H7:$H9964,BF$7:BF$9964)</f>
        <v/>
      </c>
      <c r="BG6" s="31">
        <f>SUMPRODUCT($G7:$G9964,$H7:$H9964,BG$7:BG$9964)</f>
        <v/>
      </c>
      <c r="BH6" s="31">
        <f>SUMPRODUCT($G7:$G9964,$H7:$H9964,BH$7:BH$9964)</f>
        <v/>
      </c>
      <c r="BI6" s="31">
        <f>SUMPRODUCT($G7:$G9964,$H7:$H9964,BI$7:BI$9964)</f>
        <v/>
      </c>
      <c r="BJ6" s="31">
        <f>SUMPRODUCT($G7:$G9964,$H7:$H9964,BJ$7:BJ$9964)</f>
        <v/>
      </c>
      <c r="BK6" s="31">
        <f>SUMPRODUCT($G7:$G9964,$H7:$H9964,BK$7:BK$9964)</f>
        <v/>
      </c>
      <c r="BL6" s="31">
        <f>SUMPRODUCT($G7:$G9964,$H7:$H9964,BL$7:BL$9964)</f>
        <v/>
      </c>
      <c r="BM6" s="31">
        <f>SUMPRODUCT($G7:$G9964,$H7:$H9964,BM$7:BM$9964)</f>
        <v/>
      </c>
      <c r="BN6" s="31">
        <f>SUMPRODUCT($G7:$G9964,$H7:$H9964,BN$7:BN$9964)</f>
        <v/>
      </c>
      <c r="BO6" s="31">
        <f>SUMPRODUCT($G7:$G9964,$H7:$H9964,BO$7:BO$9964)</f>
        <v/>
      </c>
      <c r="BP6" s="31">
        <f>SUMPRODUCT($G7:$G9964,$H7:$H9964,BP$7:BP$9964)</f>
        <v/>
      </c>
      <c r="BQ6" s="31">
        <f>SUMPRODUCT($G7:$G9964,$H7:$H9964,BQ$7:BQ$9964)</f>
        <v/>
      </c>
    </row>
    <row r="7" ht="15.5" customHeight="1" s="91">
      <c r="A7" s="25" t="inlineStr">
        <is>
          <t>1.2.03.683</t>
        </is>
      </c>
      <c r="B7" s="25" t="n"/>
      <c r="C7" s="25" t="n"/>
      <c r="D7" s="19" t="inlineStr">
        <is>
          <t>WO-ZZ00020736</t>
        </is>
      </c>
      <c r="E7" s="40" t="inlineStr">
        <is>
          <t>康宝 床垫XL码90*60cm (8+1)片*16包</t>
        </is>
      </c>
      <c r="F7" t="inlineStr">
        <is>
          <t>XL</t>
        </is>
      </c>
      <c r="G7" s="25" t="n">
        <v>9</v>
      </c>
      <c r="H7" s="25" t="n">
        <v>16</v>
      </c>
      <c r="I7" s="123" t="n"/>
      <c r="J7" s="126" t="n"/>
      <c r="K7" s="25" t="n">
        <v>1316</v>
      </c>
      <c r="L7" s="25">
        <f>F6*G6*J6</f>
        <v/>
      </c>
      <c r="M7" s="43" t="n">
        <v>0</v>
      </c>
      <c r="N7" s="28" t="n">
        <v>487</v>
      </c>
      <c r="O7" s="28" t="n">
        <v>487</v>
      </c>
      <c r="P7" s="28" t="n">
        <v>342</v>
      </c>
      <c r="Q7" s="28" t="n"/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  <c r="AA7" s="28" t="n"/>
      <c r="AB7" s="28" t="n"/>
      <c r="AC7" s="28" t="n"/>
      <c r="AD7" s="28" t="n"/>
      <c r="AE7" s="28" t="n"/>
      <c r="AF7" s="28" t="n"/>
      <c r="AG7" s="28" t="n"/>
      <c r="AH7" s="28" t="n"/>
      <c r="AI7" s="28" t="n"/>
      <c r="AJ7" s="28" t="n"/>
      <c r="AK7" s="28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  <c r="BP7" s="28" t="n"/>
      <c r="BQ7" s="28" t="n"/>
    </row>
    <row r="8" ht="15.5" customHeight="1" s="91">
      <c r="A8" s="25" t="inlineStr">
        <is>
          <t>1.2.03.658</t>
        </is>
      </c>
      <c r="B8" s="25" t="n"/>
      <c r="C8" s="25" t="n"/>
      <c r="D8" s="25" t="inlineStr">
        <is>
          <t>WO-ZZ00020549</t>
        </is>
      </c>
      <c r="E8" s="21" t="inlineStr">
        <is>
          <t>珍琦SUNKISS增强系列成人护理垫L码90x60cm（10片*12包）</t>
        </is>
      </c>
      <c r="F8" t="inlineStr">
        <is>
          <t>L</t>
        </is>
      </c>
      <c r="G8" s="25" t="n">
        <v>10</v>
      </c>
      <c r="H8" s="25" t="n">
        <v>12</v>
      </c>
      <c r="I8" s="123" t="n"/>
      <c r="J8" s="123" t="n"/>
      <c r="K8" s="25" t="n">
        <v>150</v>
      </c>
      <c r="L8" s="25">
        <f>F7*G7*J7</f>
        <v/>
      </c>
      <c r="M8" s="43" t="n">
        <v>0</v>
      </c>
      <c r="N8" s="28" t="n"/>
      <c r="O8" s="28" t="n"/>
      <c r="P8" s="28" t="n">
        <v>150</v>
      </c>
      <c r="Q8" s="28" t="n"/>
      <c r="R8" s="28" t="n"/>
      <c r="S8" s="28" t="n"/>
      <c r="T8" s="28" t="n"/>
      <c r="U8" s="28" t="n"/>
      <c r="V8" s="28" t="n"/>
      <c r="W8" s="28" t="n"/>
      <c r="X8" s="28" t="n"/>
      <c r="Y8" s="28" t="n"/>
      <c r="Z8" s="28" t="n"/>
      <c r="AA8" s="28" t="n"/>
      <c r="AB8" s="28" t="n"/>
      <c r="AC8" s="28" t="n"/>
      <c r="AD8" s="28" t="n"/>
      <c r="AE8" s="28" t="n"/>
      <c r="AF8" s="28" t="n"/>
      <c r="AG8" s="28" t="n"/>
      <c r="AH8" s="28" t="n"/>
      <c r="AI8" s="28" t="n"/>
      <c r="AJ8" s="28" t="n"/>
      <c r="AK8" s="28" t="n"/>
      <c r="AL8" s="28" t="n"/>
      <c r="AM8" s="28" t="n"/>
      <c r="AN8" s="28" t="n"/>
      <c r="AO8" s="28" t="n"/>
      <c r="AP8" s="28" t="n"/>
      <c r="AQ8" s="28" t="n"/>
      <c r="AR8" s="28" t="n"/>
      <c r="AS8" s="28" t="n"/>
      <c r="AT8" s="28" t="n"/>
      <c r="AU8" s="28" t="n"/>
      <c r="AV8" s="28" t="n"/>
      <c r="AW8" s="28" t="n"/>
      <c r="AX8" s="28" t="n"/>
      <c r="AY8" s="28" t="n"/>
      <c r="AZ8" s="28" t="n"/>
      <c r="BA8" s="28" t="n"/>
      <c r="BB8" s="28" t="n"/>
      <c r="BC8" s="28" t="n"/>
      <c r="BD8" s="28" t="n"/>
      <c r="BE8" s="28" t="n"/>
      <c r="BF8" s="28" t="n"/>
      <c r="BG8" s="28" t="n"/>
      <c r="BH8" s="28" t="n"/>
      <c r="BI8" s="28" t="n"/>
      <c r="BJ8" s="28" t="n"/>
      <c r="BK8" s="28" t="n"/>
      <c r="BL8" s="28" t="n"/>
      <c r="BM8" s="28" t="n"/>
      <c r="BN8" s="28" t="n"/>
      <c r="BO8" s="28" t="n"/>
      <c r="BP8" s="28" t="n"/>
      <c r="BQ8" s="28" t="n"/>
    </row>
    <row r="9" ht="17.5" customHeight="1" s="91">
      <c r="A9" s="25" t="inlineStr">
        <is>
          <t>1.2.03.658</t>
        </is>
      </c>
      <c r="B9" s="25" t="n"/>
      <c r="C9" s="25" t="inlineStr">
        <is>
          <t>NM-20260203-001</t>
        </is>
      </c>
      <c r="D9" s="25" t="inlineStr">
        <is>
          <t>WO-ZZ00019999</t>
        </is>
      </c>
      <c r="E9" s="40" t="inlineStr">
        <is>
          <t>珍琦SUNKISS增强系列成人护理垫L码90x60cm（10片*12包）</t>
        </is>
      </c>
      <c r="F9" t="inlineStr">
        <is>
          <t>L</t>
        </is>
      </c>
      <c r="G9" s="25" t="n">
        <v>10</v>
      </c>
      <c r="H9" s="25" t="n">
        <v>12</v>
      </c>
      <c r="I9" s="123" t="n">
        <v>46056</v>
      </c>
      <c r="J9" s="123" t="n">
        <v>46106</v>
      </c>
      <c r="K9" s="25" t="n">
        <v>300</v>
      </c>
      <c r="L9" s="25">
        <f>F8*G8*J8</f>
        <v/>
      </c>
      <c r="M9" s="43" t="n">
        <v>0</v>
      </c>
      <c r="N9" s="28" t="n"/>
      <c r="O9" s="28" t="n"/>
      <c r="P9" s="28" t="n">
        <v>24</v>
      </c>
      <c r="Q9" s="28" t="n">
        <v>276</v>
      </c>
      <c r="R9" s="28" t="n"/>
      <c r="S9" s="28" t="n"/>
      <c r="T9" s="28" t="n"/>
      <c r="U9" s="28" t="n"/>
      <c r="V9" s="28" t="n"/>
      <c r="W9" s="28" t="n"/>
      <c r="X9" s="28" t="n"/>
      <c r="Y9" s="28" t="n"/>
      <c r="Z9" s="28" t="n"/>
      <c r="AA9" s="28" t="n"/>
      <c r="AB9" s="28" t="n"/>
      <c r="AC9" s="28" t="n"/>
      <c r="AD9" s="28" t="n"/>
      <c r="AE9" s="28" t="n"/>
      <c r="AF9" s="28" t="n"/>
      <c r="AG9" s="28" t="n"/>
      <c r="AH9" s="28" t="n"/>
      <c r="AI9" s="28" t="n"/>
      <c r="AJ9" s="28" t="n"/>
      <c r="AK9" s="28" t="n"/>
      <c r="AL9" s="28" t="n"/>
      <c r="AM9" s="28" t="n"/>
      <c r="AN9" s="28" t="n"/>
      <c r="AO9" s="28" t="n"/>
      <c r="AP9" s="28" t="n"/>
      <c r="AQ9" s="28" t="n"/>
      <c r="AR9" s="28" t="n"/>
      <c r="AS9" s="28" t="n"/>
      <c r="AT9" s="28" t="n"/>
      <c r="AU9" s="28" t="n"/>
      <c r="AV9" s="28" t="n"/>
      <c r="AW9" s="28" t="n"/>
      <c r="AX9" s="28" t="n"/>
      <c r="AY9" s="28" t="n"/>
      <c r="AZ9" s="28" t="n"/>
      <c r="BA9" s="28" t="n"/>
      <c r="BB9" s="28" t="n"/>
      <c r="BC9" s="28" t="n"/>
      <c r="BD9" s="28" t="n"/>
      <c r="BE9" s="28" t="n"/>
      <c r="BF9" s="28" t="n"/>
      <c r="BG9" s="28" t="n"/>
      <c r="BH9" s="28" t="n"/>
      <c r="BI9" s="28" t="n"/>
      <c r="BJ9" s="28" t="n"/>
      <c r="BK9" s="28" t="n"/>
      <c r="BL9" s="28" t="n"/>
      <c r="BM9" s="28" t="n"/>
      <c r="BN9" s="28" t="n"/>
      <c r="BO9" s="28" t="n"/>
      <c r="BP9" s="28" t="n"/>
      <c r="BQ9" s="28" t="n"/>
    </row>
    <row r="10" ht="15.5" customHeight="1" s="91">
      <c r="A10" s="32" t="inlineStr">
        <is>
          <t>1.2.07.629</t>
        </is>
      </c>
      <c r="B10" s="32" t="n"/>
      <c r="C10" s="32" t="inlineStr">
        <is>
          <t>NM-20260410002</t>
        </is>
      </c>
      <c r="D10" s="32" t="inlineStr">
        <is>
          <t>WO-ZZ00020554</t>
        </is>
      </c>
      <c r="E10" s="33" t="inlineStr">
        <is>
          <t>珍琦优品医用垫单（B型）XL码90*60cm（10片*15包）</t>
        </is>
      </c>
      <c r="F10" t="inlineStr">
        <is>
          <t>XL</t>
        </is>
      </c>
      <c r="G10" s="32" t="n">
        <v>10</v>
      </c>
      <c r="H10" s="32" t="n">
        <v>15</v>
      </c>
      <c r="I10" s="119" t="n">
        <v>46122</v>
      </c>
      <c r="J10" s="119" t="n">
        <v>46152</v>
      </c>
      <c r="K10" s="32" t="n">
        <v>180</v>
      </c>
      <c r="L10" s="32">
        <f>F9*G9*J9</f>
        <v/>
      </c>
      <c r="M10" s="32" t="n">
        <v>0</v>
      </c>
      <c r="N10" s="28" t="n"/>
      <c r="O10" s="28" t="n"/>
      <c r="P10" s="28" t="n"/>
      <c r="Q10" s="28" t="n">
        <v>180</v>
      </c>
      <c r="R10" s="28" t="n"/>
      <c r="S10" s="28" t="n"/>
      <c r="T10" s="28" t="n"/>
      <c r="U10" s="28" t="n"/>
      <c r="V10" s="28" t="n"/>
      <c r="W10" s="28" t="n"/>
      <c r="X10" s="28" t="n"/>
      <c r="Y10" s="28" t="n"/>
      <c r="Z10" s="28" t="n"/>
      <c r="AA10" s="28" t="n"/>
      <c r="AB10" s="28" t="n"/>
      <c r="AC10" s="28" t="n"/>
      <c r="AD10" s="28" t="n"/>
      <c r="AE10" s="28" t="n"/>
      <c r="AF10" s="28" t="n"/>
      <c r="AG10" s="28" t="n"/>
      <c r="AH10" s="28" t="n"/>
      <c r="AI10" s="28" t="n"/>
      <c r="AJ10" s="28" t="n"/>
      <c r="AK10" s="28" t="n"/>
      <c r="AL10" s="28" t="n"/>
      <c r="AM10" s="28" t="n"/>
      <c r="AN10" s="28" t="n"/>
      <c r="AO10" s="28" t="n"/>
      <c r="AP10" s="28" t="n"/>
      <c r="AQ10" s="28" t="n"/>
      <c r="AR10" s="28" t="n"/>
      <c r="AS10" s="28" t="n"/>
      <c r="AT10" s="28" t="n"/>
      <c r="AU10" s="28" t="n"/>
      <c r="AV10" s="28" t="n"/>
      <c r="AW10" s="28" t="n"/>
      <c r="AX10" s="28" t="n"/>
      <c r="AY10" s="28" t="n"/>
      <c r="AZ10" s="28" t="n"/>
      <c r="BA10" s="28" t="n"/>
      <c r="BB10" s="28" t="n"/>
      <c r="BC10" s="28" t="n"/>
      <c r="BD10" s="28" t="n"/>
      <c r="BE10" s="28" t="n"/>
      <c r="BF10" s="28" t="n"/>
      <c r="BG10" s="28" t="n"/>
      <c r="BH10" s="28" t="n"/>
      <c r="BI10" s="28" t="n"/>
      <c r="BJ10" s="28" t="n"/>
      <c r="BK10" s="28" t="n"/>
      <c r="BL10" s="28" t="n"/>
      <c r="BM10" s="28" t="n"/>
      <c r="BN10" s="28" t="n"/>
      <c r="BO10" s="28" t="n"/>
      <c r="BP10" s="28" t="n"/>
      <c r="BQ10" s="28" t="n"/>
    </row>
    <row r="11" ht="15.5" customHeight="1" s="91">
      <c r="A11" s="25" t="inlineStr">
        <is>
          <t>1.2.03.672</t>
        </is>
      </c>
      <c r="B11" s="25" t="n"/>
      <c r="C11" s="25" t="inlineStr">
        <is>
          <t>DS-20260205-001</t>
        </is>
      </c>
      <c r="D11" s="25" t="inlineStr">
        <is>
          <t>WO-ZZ00020090</t>
        </is>
      </c>
      <c r="E11" s="40" t="inlineStr">
        <is>
          <t>珍琦基础型成人护理垫L码60*90cm（10片*10包）</t>
        </is>
      </c>
      <c r="F11" t="inlineStr">
        <is>
          <t>L</t>
        </is>
      </c>
      <c r="G11" s="25" t="n">
        <v>10</v>
      </c>
      <c r="H11" s="25" t="n">
        <v>10</v>
      </c>
      <c r="I11" s="123" t="n">
        <v>46058</v>
      </c>
      <c r="J11" s="123" t="n">
        <v>46112</v>
      </c>
      <c r="K11" s="25" t="n">
        <v>500</v>
      </c>
      <c r="L11" s="25">
        <f>F10*G10*J10</f>
        <v/>
      </c>
      <c r="M11" s="43" t="n">
        <v>0</v>
      </c>
      <c r="N11" s="28" t="n"/>
      <c r="O11" s="28" t="n"/>
      <c r="P11" s="28" t="n"/>
      <c r="Q11" s="28" t="n">
        <v>100</v>
      </c>
      <c r="R11" s="28" t="n"/>
      <c r="S11" s="28" t="n">
        <v>400</v>
      </c>
      <c r="T11" s="28" t="n"/>
      <c r="U11" s="28" t="n"/>
      <c r="V11" s="28" t="n"/>
      <c r="W11" s="28" t="n"/>
      <c r="X11" s="28" t="n"/>
      <c r="Y11" s="28" t="n"/>
      <c r="Z11" s="28" t="n"/>
      <c r="AA11" s="28" t="n"/>
      <c r="AB11" s="28" t="n"/>
      <c r="AC11" s="28" t="n"/>
      <c r="AD11" s="28" t="n"/>
      <c r="AE11" s="28" t="n"/>
      <c r="AF11" s="28" t="n"/>
      <c r="AG11" s="28" t="n"/>
      <c r="AH11" s="28" t="n"/>
      <c r="AI11" s="28" t="n"/>
      <c r="AJ11" s="28" t="n"/>
      <c r="AK11" s="28" t="n"/>
      <c r="AL11" s="28" t="n"/>
      <c r="AM11" s="28" t="n"/>
      <c r="AN11" s="28" t="n"/>
      <c r="AO11" s="28" t="n"/>
      <c r="AP11" s="28" t="n"/>
      <c r="AQ11" s="28" t="n"/>
      <c r="AR11" s="28" t="n"/>
      <c r="AS11" s="28" t="n"/>
      <c r="AT11" s="28" t="n"/>
      <c r="AU11" s="28" t="n"/>
      <c r="AV11" s="28" t="n"/>
      <c r="AW11" s="28" t="n"/>
      <c r="AX11" s="28" t="n"/>
      <c r="AY11" s="28" t="n"/>
      <c r="AZ11" s="28" t="n"/>
      <c r="BA11" s="28" t="n"/>
      <c r="BB11" s="28" t="n"/>
      <c r="BC11" s="28" t="n"/>
      <c r="BD11" s="28" t="n"/>
      <c r="BE11" s="28" t="n"/>
      <c r="BF11" s="28" t="n"/>
      <c r="BG11" s="28" t="n"/>
      <c r="BH11" s="28" t="n"/>
      <c r="BI11" s="28" t="n"/>
      <c r="BJ11" s="28" t="n"/>
      <c r="BK11" s="28" t="n"/>
      <c r="BL11" s="28" t="n"/>
      <c r="BM11" s="28" t="n"/>
      <c r="BN11" s="28" t="n"/>
      <c r="BO11" s="28" t="n"/>
      <c r="BP11" s="28" t="n"/>
      <c r="BQ11" s="28" t="n"/>
    </row>
    <row r="12" ht="15.5" customFormat="1" customHeight="1" s="2">
      <c r="A12" s="25" t="inlineStr">
        <is>
          <t>1.2.03.657</t>
        </is>
      </c>
      <c r="B12" s="25" t="n"/>
      <c r="C12" s="25" t="inlineStr">
        <is>
          <t>NM-20260209-001</t>
        </is>
      </c>
      <c r="D12" s="25" t="inlineStr">
        <is>
          <t>WO-ZZ00020087</t>
        </is>
      </c>
      <c r="E12" s="40" t="inlineStr">
        <is>
          <t>贴静舒爽系列成人护理垫L码90x60cm（10片*12包）</t>
        </is>
      </c>
      <c r="F12" t="inlineStr">
        <is>
          <t>L</t>
        </is>
      </c>
      <c r="G12" s="25" t="n">
        <v>10</v>
      </c>
      <c r="H12" s="25" t="n">
        <v>12</v>
      </c>
      <c r="I12" s="123" t="n">
        <v>46059</v>
      </c>
      <c r="J12" s="123" t="n">
        <v>46109</v>
      </c>
      <c r="K12" s="25" t="n">
        <v>500</v>
      </c>
      <c r="L12" s="25">
        <f>F11*G11*J11</f>
        <v/>
      </c>
      <c r="M12" s="43" t="n">
        <v>0</v>
      </c>
      <c r="N12" s="28" t="n"/>
      <c r="O12" s="28" t="n"/>
      <c r="P12" s="28" t="n"/>
      <c r="Q12" s="28" t="n"/>
      <c r="R12" s="28" t="n"/>
      <c r="S12" s="28" t="n">
        <v>251</v>
      </c>
      <c r="T12" s="28" t="n">
        <v>249</v>
      </c>
      <c r="U12" s="28" t="n"/>
      <c r="V12" s="28" t="n"/>
      <c r="W12" s="28" t="n"/>
      <c r="X12" s="28" t="n"/>
      <c r="Y12" s="28" t="n"/>
      <c r="Z12" s="28" t="n"/>
      <c r="AA12" s="28" t="n"/>
      <c r="AB12" s="28" t="n"/>
      <c r="AC12" s="28" t="n"/>
      <c r="AD12" s="28" t="n"/>
      <c r="AE12" s="28" t="n"/>
      <c r="AF12" s="28" t="n"/>
      <c r="AG12" s="28" t="n"/>
      <c r="AH12" s="28" t="n"/>
      <c r="AI12" s="28" t="n"/>
      <c r="AJ12" s="28" t="n"/>
      <c r="AK12" s="28" t="n"/>
      <c r="AL12" s="28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8" t="n"/>
      <c r="BA12" s="28" t="n"/>
      <c r="BB12" s="28" t="n"/>
      <c r="BC12" s="28" t="n"/>
      <c r="BD12" s="28" t="n"/>
      <c r="BE12" s="28" t="n"/>
      <c r="BF12" s="28" t="n"/>
      <c r="BG12" s="28" t="n"/>
      <c r="BH12" s="28" t="n"/>
      <c r="BI12" s="28" t="n"/>
      <c r="BJ12" s="28" t="n"/>
      <c r="BK12" s="28" t="n"/>
      <c r="BL12" s="28" t="n"/>
      <c r="BM12" s="28" t="n"/>
      <c r="BN12" s="28" t="n"/>
      <c r="BO12" s="28" t="n"/>
      <c r="BP12" s="28" t="n"/>
      <c r="BQ12" s="28" t="n"/>
    </row>
    <row r="13" ht="17.5" customHeight="1" s="91">
      <c r="A13" s="19" t="inlineStr">
        <is>
          <t>1.2.03.660</t>
        </is>
      </c>
      <c r="B13" s="19" t="n"/>
      <c r="C13" s="19" t="n"/>
      <c r="D13" s="25" t="inlineStr">
        <is>
          <t>WO-ZZ00020431</t>
        </is>
      </c>
      <c r="E13" s="21" t="inlineStr">
        <is>
          <t>贴静舒爽系列成人护理垫L码90x60cm（3片*30包）</t>
        </is>
      </c>
      <c r="F13" t="inlineStr">
        <is>
          <t>L</t>
        </is>
      </c>
      <c r="G13" s="19" t="n">
        <v>3</v>
      </c>
      <c r="H13" s="19" t="n">
        <v>30</v>
      </c>
      <c r="I13" s="116" t="n">
        <v>46094</v>
      </c>
      <c r="J13" s="116" t="n">
        <v>46127</v>
      </c>
      <c r="K13" s="19" t="n">
        <v>350</v>
      </c>
      <c r="L13" s="25">
        <f>F12*G12*J12</f>
        <v/>
      </c>
      <c r="M13" s="26" t="n">
        <v>0</v>
      </c>
      <c r="N13" s="24" t="n"/>
      <c r="O13" s="24" t="n"/>
      <c r="P13" s="24" t="n"/>
      <c r="Q13" s="24" t="n"/>
      <c r="R13" s="24" t="n"/>
      <c r="S13" s="24" t="n"/>
      <c r="T13" s="24" t="n">
        <v>350</v>
      </c>
      <c r="U13" s="24" t="n"/>
      <c r="V13" s="24" t="n"/>
      <c r="W13" s="24" t="n"/>
      <c r="X13" s="24" t="n"/>
      <c r="Y13" s="24" t="n"/>
      <c r="Z13" s="24" t="n"/>
      <c r="AA13" s="24" t="n"/>
      <c r="AB13" s="24" t="n"/>
      <c r="AC13" s="24" t="n"/>
      <c r="AD13" s="24" t="n"/>
      <c r="AE13" s="24" t="n"/>
      <c r="AF13" s="24" t="n"/>
      <c r="AG13" s="24" t="n"/>
      <c r="AH13" s="24" t="n"/>
      <c r="AI13" s="24" t="n"/>
      <c r="AJ13" s="24" t="n"/>
      <c r="AK13" s="24" t="n"/>
      <c r="AL13" s="24" t="n"/>
      <c r="AM13" s="24" t="n"/>
      <c r="AN13" s="24" t="n"/>
      <c r="AO13" s="24" t="n"/>
      <c r="AP13" s="24" t="n"/>
      <c r="AQ13" s="24" t="n"/>
      <c r="AR13" s="24" t="n"/>
      <c r="AS13" s="24" t="n"/>
      <c r="AT13" s="24" t="n"/>
      <c r="AU13" s="24" t="n"/>
      <c r="AV13" s="24" t="n"/>
      <c r="AW13" s="24" t="n"/>
      <c r="AX13" s="24" t="n"/>
      <c r="AY13" s="24" t="n"/>
      <c r="AZ13" s="24" t="n"/>
      <c r="BA13" s="24" t="n"/>
      <c r="BB13" s="24" t="n"/>
      <c r="BC13" s="24" t="n"/>
      <c r="BD13" s="24" t="n"/>
      <c r="BE13" s="24" t="n"/>
      <c r="BF13" s="24" t="n"/>
      <c r="BG13" s="24" t="n"/>
      <c r="BH13" s="24" t="n"/>
      <c r="BI13" s="24" t="n"/>
      <c r="BJ13" s="24" t="n"/>
      <c r="BK13" s="24" t="n"/>
      <c r="BL13" s="24" t="n"/>
      <c r="BM13" s="24" t="n"/>
      <c r="BN13" s="24" t="n"/>
      <c r="BO13" s="24" t="n"/>
      <c r="BP13" s="24" t="n"/>
      <c r="BQ13" s="24" t="n"/>
    </row>
    <row r="14" ht="15.5" customFormat="1" customHeight="1" s="2">
      <c r="A14" s="32" t="inlineStr">
        <is>
          <t>1.2.03.659</t>
        </is>
      </c>
      <c r="B14" s="32" t="n"/>
      <c r="C14" s="32" t="inlineStr">
        <is>
          <t>NM-20260410002</t>
        </is>
      </c>
      <c r="D14" s="32" t="inlineStr">
        <is>
          <t>WO-ZZ00020552</t>
        </is>
      </c>
      <c r="E14" s="33" t="inlineStr">
        <is>
          <t>贴静舒爽系列成人护理垫L码90x60cm（15片*8包）</t>
        </is>
      </c>
      <c r="F14" t="inlineStr">
        <is>
          <t>L</t>
        </is>
      </c>
      <c r="G14" s="32" t="n">
        <v>15</v>
      </c>
      <c r="H14" s="32" t="n">
        <v>8</v>
      </c>
      <c r="I14" s="119" t="n">
        <v>46122</v>
      </c>
      <c r="J14" s="119" t="n">
        <v>46152</v>
      </c>
      <c r="K14" s="32" t="n">
        <v>400</v>
      </c>
      <c r="L14" s="32">
        <f>F13*G13*J13</f>
        <v/>
      </c>
      <c r="M14" s="32" t="n">
        <v>0</v>
      </c>
      <c r="N14" s="28" t="n"/>
      <c r="O14" s="28" t="n"/>
      <c r="P14" s="28" t="n"/>
      <c r="Q14" s="28" t="n"/>
      <c r="R14" s="28" t="n"/>
      <c r="S14" s="28" t="n"/>
      <c r="T14" s="28" t="n">
        <v>73</v>
      </c>
      <c r="U14" s="28" t="n">
        <v>327</v>
      </c>
      <c r="V14" s="28" t="n"/>
      <c r="W14" s="28" t="n"/>
      <c r="X14" s="28" t="n"/>
      <c r="Y14" s="28" t="n"/>
      <c r="Z14" s="28" t="n"/>
      <c r="AA14" s="28" t="n"/>
      <c r="AB14" s="28" t="n"/>
      <c r="AC14" s="28" t="n"/>
      <c r="AD14" s="28" t="n"/>
      <c r="AE14" s="28" t="n"/>
      <c r="AF14" s="28" t="n"/>
      <c r="AG14" s="28" t="n"/>
      <c r="AH14" s="28" t="n"/>
      <c r="AI14" s="28" t="n"/>
      <c r="AJ14" s="28" t="n"/>
      <c r="AK14" s="28" t="n"/>
      <c r="AL14" s="28" t="n"/>
      <c r="AM14" s="28" t="n"/>
      <c r="AN14" s="28" t="n"/>
      <c r="AO14" s="28" t="n"/>
      <c r="AP14" s="28" t="n"/>
      <c r="AQ14" s="28" t="n"/>
      <c r="AR14" s="28" t="n"/>
      <c r="AS14" s="28" t="n"/>
      <c r="AT14" s="28" t="n"/>
      <c r="AU14" s="28" t="n"/>
      <c r="AV14" s="28" t="n"/>
      <c r="AW14" s="28" t="n"/>
      <c r="AX14" s="28" t="n"/>
      <c r="AY14" s="28" t="n"/>
      <c r="AZ14" s="28" t="n"/>
      <c r="BA14" s="28" t="n"/>
      <c r="BB14" s="28" t="n"/>
      <c r="BC14" s="28" t="n"/>
      <c r="BD14" s="28" t="n"/>
      <c r="BE14" s="28" t="n"/>
      <c r="BF14" s="28" t="n"/>
      <c r="BG14" s="28" t="n"/>
      <c r="BH14" s="28" t="n"/>
      <c r="BI14" s="28" t="n"/>
      <c r="BJ14" s="28" t="n"/>
      <c r="BK14" s="28" t="n"/>
      <c r="BL14" s="28" t="n"/>
      <c r="BM14" s="28" t="n"/>
      <c r="BN14" s="28" t="n"/>
      <c r="BO14" s="28" t="n"/>
      <c r="BP14" s="28" t="n"/>
      <c r="BQ14" s="28" t="n"/>
    </row>
    <row r="15" ht="17.5" customHeight="1" s="91">
      <c r="A15" s="19" t="inlineStr">
        <is>
          <t>1.2.03.658</t>
        </is>
      </c>
      <c r="B15" s="19" t="n"/>
      <c r="C15" s="21" t="n"/>
      <c r="D15" s="21" t="inlineStr">
        <is>
          <t>WO-ZZ00020326</t>
        </is>
      </c>
      <c r="E15" s="21" t="inlineStr">
        <is>
          <t>珍琦SUNKISS增强系列成人护理垫L码90x60cm（10片*12包）</t>
        </is>
      </c>
      <c r="F15" t="inlineStr">
        <is>
          <t>L</t>
        </is>
      </c>
      <c r="G15" s="19" t="n">
        <v>10</v>
      </c>
      <c r="H15" s="19" t="n">
        <v>12</v>
      </c>
      <c r="I15" s="116" t="n">
        <v>46094</v>
      </c>
      <c r="J15" s="116" t="n">
        <v>46127</v>
      </c>
      <c r="K15" s="19" t="n">
        <v>1500</v>
      </c>
      <c r="L15" s="25">
        <f>F14*G14*J14</f>
        <v/>
      </c>
      <c r="M15" s="26" t="n">
        <v>0</v>
      </c>
      <c r="N15" s="24" t="n"/>
      <c r="O15" s="24" t="n"/>
      <c r="P15" s="24" t="n"/>
      <c r="Q15" s="24" t="n"/>
      <c r="R15" s="24" t="n"/>
      <c r="S15" s="24" t="n"/>
      <c r="T15" s="24" t="n"/>
      <c r="U15" s="24" t="n">
        <v>257</v>
      </c>
      <c r="V15" s="24" t="n">
        <v>584</v>
      </c>
      <c r="W15" s="24" t="n">
        <v>584</v>
      </c>
      <c r="X15" s="24" t="n">
        <v>75</v>
      </c>
      <c r="Y15" s="24" t="n"/>
      <c r="Z15" s="24" t="n"/>
      <c r="AA15" s="24" t="n"/>
      <c r="AB15" s="24" t="n"/>
      <c r="AC15" s="24" t="n"/>
      <c r="AD15" s="24" t="n"/>
      <c r="AE15" s="24" t="n"/>
      <c r="AF15" s="24" t="n"/>
      <c r="AG15" s="24" t="n"/>
      <c r="AH15" s="24" t="n"/>
      <c r="AI15" s="24" t="n"/>
      <c r="AJ15" s="24" t="n"/>
      <c r="AK15" s="24" t="n"/>
      <c r="AL15" s="24" t="n"/>
      <c r="AM15" s="24" t="n"/>
      <c r="AN15" s="24" t="n"/>
      <c r="AO15" s="24" t="n"/>
      <c r="AP15" s="24" t="n"/>
      <c r="AQ15" s="24" t="n"/>
      <c r="AR15" s="24" t="n"/>
      <c r="AS15" s="24" t="n"/>
      <c r="AT15" s="24" t="n"/>
      <c r="AU15" s="24" t="n"/>
      <c r="AV15" s="24" t="n"/>
      <c r="AW15" s="24" t="n"/>
      <c r="AX15" s="24" t="n"/>
      <c r="AY15" s="24" t="n"/>
      <c r="AZ15" s="24" t="n"/>
      <c r="BA15" s="24" t="n"/>
      <c r="BB15" s="24" t="n"/>
      <c r="BC15" s="24" t="n"/>
      <c r="BD15" s="24" t="n"/>
      <c r="BE15" s="24" t="n"/>
      <c r="BF15" s="24" t="n"/>
      <c r="BG15" s="24" t="n"/>
      <c r="BH15" s="24" t="n"/>
      <c r="BI15" s="24" t="n"/>
      <c r="BJ15" s="24" t="n"/>
      <c r="BK15" s="24" t="n"/>
      <c r="BL15" s="24" t="n"/>
      <c r="BM15" s="24" t="n"/>
      <c r="BN15" s="24" t="n"/>
      <c r="BO15" s="24" t="n"/>
      <c r="BP15" s="24" t="n"/>
      <c r="BQ15" s="24" t="n"/>
    </row>
    <row r="16" ht="17.5" customHeight="1" s="91">
      <c r="A16" s="35" t="inlineStr">
        <is>
          <t>1.2.03.637</t>
        </is>
      </c>
      <c r="B16" s="35" t="n"/>
      <c r="C16" s="35" t="inlineStr">
        <is>
          <t>NM-20260417001</t>
        </is>
      </c>
      <c r="D16" s="35" t="inlineStr">
        <is>
          <t>WO-ZZ00020611</t>
        </is>
      </c>
      <c r="E16" s="21" t="inlineStr">
        <is>
          <t>Zako医用垫单L码 90*60cm 5片</t>
        </is>
      </c>
      <c r="F16" t="inlineStr">
        <is>
          <t>L</t>
        </is>
      </c>
      <c r="G16" s="19" t="n">
        <v>5</v>
      </c>
      <c r="H16" s="19" t="n">
        <v>30</v>
      </c>
      <c r="I16" s="116" t="n">
        <v>46129</v>
      </c>
      <c r="J16" s="117" t="n">
        <v>46159</v>
      </c>
      <c r="K16" s="19" t="n">
        <v>100</v>
      </c>
      <c r="L16" s="19">
        <f>F15*G15*J15</f>
        <v/>
      </c>
      <c r="M16" s="19" t="n">
        <v>0</v>
      </c>
      <c r="N16" s="28" t="n"/>
      <c r="O16" s="28" t="n"/>
      <c r="P16" s="28" t="n"/>
      <c r="Q16" s="28" t="n"/>
      <c r="R16" s="28" t="n"/>
      <c r="S16" s="28" t="n"/>
      <c r="T16" s="28" t="n"/>
      <c r="U16" s="28" t="n"/>
      <c r="V16" s="28" t="n"/>
      <c r="W16" s="28" t="n"/>
      <c r="X16" s="28" t="n">
        <v>100</v>
      </c>
      <c r="Y16" s="28" t="n"/>
      <c r="Z16" s="28" t="n"/>
      <c r="AA16" s="28" t="n"/>
      <c r="AB16" s="28" t="n"/>
      <c r="AC16" s="28" t="n"/>
      <c r="AD16" s="28" t="n"/>
      <c r="AE16" s="28" t="n"/>
      <c r="AF16" s="28" t="n"/>
      <c r="AG16" s="28" t="n"/>
      <c r="AH16" s="28" t="n"/>
      <c r="AI16" s="28" t="n"/>
      <c r="AJ16" s="28" t="n"/>
      <c r="AK16" s="28" t="n"/>
      <c r="AL16" s="28" t="n"/>
      <c r="AM16" s="28" t="n"/>
      <c r="AN16" s="28" t="n"/>
      <c r="AO16" s="28" t="n"/>
      <c r="AP16" s="28" t="n"/>
      <c r="AQ16" s="28" t="n"/>
      <c r="AR16" s="28" t="n"/>
      <c r="AS16" s="28" t="n"/>
      <c r="AT16" s="28" t="n"/>
      <c r="AU16" s="28" t="n"/>
      <c r="AV16" s="28" t="n"/>
      <c r="AW16" s="28" t="n"/>
      <c r="AX16" s="28" t="n"/>
      <c r="AY16" s="28" t="n"/>
      <c r="AZ16" s="28" t="n"/>
      <c r="BA16" s="28" t="n"/>
      <c r="BB16" s="28" t="n"/>
      <c r="BC16" s="28" t="n"/>
      <c r="BD16" s="28" t="n"/>
      <c r="BE16" s="28" t="n"/>
      <c r="BF16" s="28" t="n"/>
      <c r="BG16" s="28" t="n"/>
      <c r="BH16" s="28" t="n"/>
      <c r="BI16" s="28" t="n"/>
      <c r="BJ16" s="28" t="n"/>
      <c r="BK16" s="28" t="n"/>
      <c r="BL16" s="28" t="n"/>
      <c r="BM16" s="28" t="n"/>
      <c r="BN16" s="28" t="n"/>
      <c r="BO16" s="28" t="n"/>
      <c r="BP16" s="28" t="n"/>
      <c r="BQ16" s="28" t="n"/>
    </row>
    <row r="17" ht="17.5" customHeight="1" s="91">
      <c r="A17" s="19" t="inlineStr">
        <is>
          <t>1.2.05.301</t>
        </is>
      </c>
      <c r="B17" s="19" t="n"/>
      <c r="C17" s="19" t="n"/>
      <c r="D17" s="35" t="inlineStr">
        <is>
          <t>WO-ZZ00020695</t>
        </is>
      </c>
      <c r="E17" s="21" t="inlineStr">
        <is>
          <t>康宝 床垫 70*40cm</t>
        </is>
      </c>
      <c r="G17" s="19" t="n">
        <v>10</v>
      </c>
      <c r="H17" s="19" t="n">
        <v>10</v>
      </c>
      <c r="I17" s="116" t="n"/>
      <c r="J17" s="117" t="n"/>
      <c r="K17" s="19" t="n">
        <v>1280</v>
      </c>
      <c r="L17" s="19">
        <f>F16*G16*J16</f>
        <v/>
      </c>
      <c r="M17" s="26" t="n">
        <v>0</v>
      </c>
      <c r="N17" s="28" t="n"/>
      <c r="O17" s="28" t="n"/>
      <c r="P17" s="28" t="n"/>
      <c r="Q17" s="28" t="n"/>
      <c r="R17" s="28" t="n"/>
      <c r="S17" s="28" t="n"/>
      <c r="T17" s="28" t="n"/>
      <c r="U17" s="28" t="n"/>
      <c r="V17" s="28" t="n"/>
      <c r="W17" s="28" t="n"/>
      <c r="X17" s="28" t="n">
        <v>461</v>
      </c>
      <c r="Y17" s="28" t="n"/>
      <c r="Z17" s="28" t="n">
        <v>701</v>
      </c>
      <c r="AA17" s="28" t="n">
        <v>118</v>
      </c>
      <c r="AB17" s="28" t="n"/>
      <c r="AC17" s="28" t="n"/>
      <c r="AD17" s="28" t="n"/>
      <c r="AE17" s="28" t="n"/>
      <c r="AF17" s="28" t="n"/>
      <c r="AG17" s="28" t="n"/>
      <c r="AH17" s="28" t="n"/>
      <c r="AI17" s="28" t="n"/>
      <c r="AJ17" s="28" t="n"/>
      <c r="AK17" s="28" t="n"/>
      <c r="AL17" s="28" t="n"/>
      <c r="AM17" s="28" t="n"/>
      <c r="AN17" s="28" t="n"/>
      <c r="AO17" s="28" t="n"/>
      <c r="AP17" s="28" t="n"/>
      <c r="AQ17" s="28" t="n"/>
      <c r="AR17" s="28" t="n"/>
      <c r="AS17" s="28" t="n"/>
      <c r="AT17" s="28" t="n"/>
      <c r="AU17" s="28" t="n"/>
      <c r="AV17" s="28" t="n"/>
      <c r="AW17" s="28" t="n"/>
      <c r="AX17" s="28" t="n"/>
      <c r="AY17" s="28" t="n"/>
      <c r="AZ17" s="28" t="n"/>
      <c r="BA17" s="28" t="n"/>
      <c r="BB17" s="28" t="n"/>
      <c r="BC17" s="28" t="n"/>
      <c r="BD17" s="28" t="n"/>
      <c r="BE17" s="28" t="n"/>
      <c r="BF17" s="28" t="n"/>
      <c r="BG17" s="28" t="n"/>
      <c r="BH17" s="28" t="n"/>
      <c r="BI17" s="28" t="n"/>
      <c r="BJ17" s="28" t="n"/>
      <c r="BK17" s="28" t="n"/>
      <c r="BL17" s="28" t="n"/>
      <c r="BM17" s="28" t="n"/>
      <c r="BN17" s="28" t="n"/>
      <c r="BO17" s="28" t="n"/>
      <c r="BP17" s="28" t="n"/>
      <c r="BQ17" s="28" t="n"/>
    </row>
    <row r="18" ht="17.5" customHeight="1" s="91">
      <c r="A18" s="35" t="inlineStr">
        <is>
          <t>1.2.01.301</t>
        </is>
      </c>
      <c r="B18" s="35" t="n"/>
      <c r="C18" s="35" t="inlineStr">
        <is>
          <t>CR269035</t>
        </is>
      </c>
      <c r="D18" s="35" t="inlineStr">
        <is>
          <t>WO-ZZ00020696</t>
        </is>
      </c>
      <c r="E18" s="21" t="inlineStr">
        <is>
          <t>蓝雀成人护理垫40*60CM 3000(10片*30包) (CU000198)</t>
        </is>
      </c>
      <c r="G18" s="19" t="n">
        <v>10</v>
      </c>
      <c r="H18" s="19" t="n">
        <v>30</v>
      </c>
      <c r="I18" s="116" t="n">
        <v>46136</v>
      </c>
      <c r="J18" s="117" t="n">
        <v>46168</v>
      </c>
      <c r="K18" s="19" t="n">
        <v>300</v>
      </c>
      <c r="L18" s="19">
        <f>F17*G17*J17</f>
        <v/>
      </c>
      <c r="M18" s="19" t="n">
        <v>0</v>
      </c>
      <c r="N18" s="28" t="n"/>
      <c r="O18" s="28" t="n"/>
      <c r="P18" s="28" t="n"/>
      <c r="Q18" s="28" t="n"/>
      <c r="R18" s="28" t="n"/>
      <c r="S18" s="28" t="n"/>
      <c r="T18" s="28" t="n"/>
      <c r="U18" s="28" t="n"/>
      <c r="V18" s="28" t="n"/>
      <c r="W18" s="28" t="n"/>
      <c r="X18" s="28" t="n"/>
      <c r="Y18" s="28" t="n"/>
      <c r="Z18" s="28" t="n"/>
      <c r="AA18" s="28" t="n">
        <v>194</v>
      </c>
      <c r="AB18" s="28" t="n">
        <v>106</v>
      </c>
      <c r="AC18" s="28" t="n"/>
      <c r="AD18" s="28" t="n"/>
      <c r="AE18" s="28" t="n"/>
      <c r="AF18" s="28" t="n"/>
      <c r="AG18" s="28" t="n"/>
      <c r="AH18" s="28" t="n"/>
      <c r="AI18" s="28" t="n"/>
      <c r="AJ18" s="28" t="n"/>
      <c r="AK18" s="28" t="n"/>
      <c r="AL18" s="28" t="n"/>
      <c r="AM18" s="28" t="n"/>
      <c r="AN18" s="28" t="n"/>
      <c r="AO18" s="28" t="n"/>
      <c r="AP18" s="28" t="n"/>
      <c r="AQ18" s="28" t="n"/>
      <c r="AR18" s="28" t="n"/>
      <c r="AS18" s="28" t="n"/>
      <c r="AT18" s="28" t="n"/>
      <c r="AU18" s="28" t="n"/>
      <c r="AV18" s="28" t="n"/>
      <c r="AW18" s="28" t="n"/>
      <c r="AX18" s="28" t="n"/>
      <c r="AY18" s="28" t="n"/>
      <c r="AZ18" s="28" t="n"/>
      <c r="BA18" s="28" t="n"/>
      <c r="BB18" s="28" t="n"/>
      <c r="BC18" s="28" t="n"/>
      <c r="BD18" s="28" t="n"/>
      <c r="BE18" s="28" t="n"/>
      <c r="BF18" s="28" t="n"/>
      <c r="BG18" s="28" t="n"/>
      <c r="BH18" s="28" t="n"/>
      <c r="BI18" s="28" t="n"/>
      <c r="BJ18" s="28" t="n"/>
      <c r="BK18" s="28" t="n"/>
      <c r="BL18" s="28" t="n"/>
      <c r="BM18" s="28" t="n"/>
      <c r="BN18" s="28" t="n"/>
      <c r="BO18" s="28" t="n"/>
      <c r="BP18" s="28" t="n"/>
      <c r="BQ18" s="28" t="n"/>
    </row>
    <row r="19" ht="17.5" customHeight="1" s="91">
      <c r="A19" s="35" t="inlineStr">
        <is>
          <t>1.2.03.658</t>
        </is>
      </c>
      <c r="B19" s="35" t="n"/>
      <c r="C19" s="35" t="inlineStr">
        <is>
          <t>CR269035</t>
        </is>
      </c>
      <c r="D19" s="35" t="inlineStr">
        <is>
          <t>WO-ZZ00020697</t>
        </is>
      </c>
      <c r="E19" s="21" t="inlineStr">
        <is>
          <t>珍琦SUNKISS增强系列成人护理垫L码90x60cm（10片*12包）</t>
        </is>
      </c>
      <c r="F19" t="inlineStr">
        <is>
          <t>L</t>
        </is>
      </c>
      <c r="G19" s="19" t="n">
        <v>10</v>
      </c>
      <c r="H19" s="19" t="n">
        <v>12</v>
      </c>
      <c r="I19" s="116" t="n">
        <v>46136</v>
      </c>
      <c r="J19" s="117" t="n">
        <v>46168</v>
      </c>
      <c r="K19" s="19" t="n">
        <v>40</v>
      </c>
      <c r="L19" s="19">
        <f>F18*G18*J18</f>
        <v/>
      </c>
      <c r="M19" s="19" t="n">
        <v>0</v>
      </c>
      <c r="N19" s="28" t="n"/>
      <c r="O19" s="28" t="n"/>
      <c r="P19" s="28" t="n"/>
      <c r="Q19" s="28" t="n"/>
      <c r="R19" s="28" t="n"/>
      <c r="S19" s="28" t="n"/>
      <c r="T19" s="28" t="n"/>
      <c r="U19" s="28" t="n"/>
      <c r="V19" s="28" t="n"/>
      <c r="W19" s="28" t="n"/>
      <c r="X19" s="28" t="n"/>
      <c r="Y19" s="28" t="n"/>
      <c r="Z19" s="28" t="n"/>
      <c r="AA19" s="28" t="n"/>
      <c r="AB19" s="28" t="n">
        <v>40</v>
      </c>
      <c r="AC19" s="28" t="n"/>
      <c r="AD19" s="28" t="n"/>
      <c r="AE19" s="28" t="n"/>
      <c r="AF19" s="28" t="n"/>
      <c r="AG19" s="28" t="n"/>
      <c r="AH19" s="28" t="n"/>
      <c r="AI19" s="28" t="n"/>
      <c r="AJ19" s="28" t="n"/>
      <c r="AK19" s="28" t="n"/>
      <c r="AL19" s="28" t="n"/>
      <c r="AM19" s="28" t="n"/>
      <c r="AN19" s="28" t="n"/>
      <c r="AO19" s="28" t="n"/>
      <c r="AP19" s="28" t="n"/>
      <c r="AQ19" s="28" t="n"/>
      <c r="AR19" s="28" t="n"/>
      <c r="AS19" s="28" t="n"/>
      <c r="AT19" s="28" t="n"/>
      <c r="AU19" s="28" t="n"/>
      <c r="AV19" s="28" t="n"/>
      <c r="AW19" s="28" t="n"/>
      <c r="AX19" s="28" t="n"/>
      <c r="AY19" s="28" t="n"/>
      <c r="AZ19" s="28" t="n"/>
      <c r="BA19" s="28" t="n"/>
      <c r="BB19" s="28" t="n"/>
      <c r="BC19" s="28" t="n"/>
      <c r="BD19" s="28" t="n"/>
      <c r="BE19" s="28" t="n"/>
      <c r="BF19" s="28" t="n"/>
      <c r="BG19" s="28" t="n"/>
      <c r="BH19" s="28" t="n"/>
      <c r="BI19" s="28" t="n"/>
      <c r="BJ19" s="28" t="n"/>
      <c r="BK19" s="28" t="n"/>
      <c r="BL19" s="28" t="n"/>
      <c r="BM19" s="28" t="n"/>
      <c r="BN19" s="28" t="n"/>
      <c r="BO19" s="28" t="n"/>
      <c r="BP19" s="28" t="n"/>
      <c r="BQ19" s="28" t="n"/>
    </row>
    <row r="20" ht="18" customHeight="1" s="91">
      <c r="A20" s="35" t="inlineStr">
        <is>
          <t>1.2.03.672</t>
        </is>
      </c>
      <c r="B20" s="35" t="n"/>
      <c r="C20" s="35" t="inlineStr">
        <is>
          <t>DS-20260402-001</t>
        </is>
      </c>
      <c r="D20" s="120" t="inlineStr">
        <is>
          <t>WO-ZZ00020503</t>
        </is>
      </c>
      <c r="E20" s="21" t="inlineStr">
        <is>
          <t>珍琦基础型成人护理垫L码60*90cm（10片*10包）</t>
        </is>
      </c>
      <c r="F20" t="inlineStr">
        <is>
          <t>L</t>
        </is>
      </c>
      <c r="G20" s="19" t="n">
        <v>10</v>
      </c>
      <c r="H20" s="19" t="n">
        <v>10</v>
      </c>
      <c r="I20" s="116" t="n">
        <v>46114</v>
      </c>
      <c r="J20" s="117" t="n">
        <v>46178</v>
      </c>
      <c r="K20" s="19" t="n">
        <v>700</v>
      </c>
      <c r="L20" s="19">
        <f>F19*G19*J19</f>
        <v/>
      </c>
      <c r="M20" s="26" t="n">
        <v>0</v>
      </c>
      <c r="N20" s="28" t="n"/>
      <c r="O20" s="28" t="n"/>
      <c r="P20" s="28" t="n"/>
      <c r="Q20" s="28" t="n"/>
      <c r="R20" s="28" t="n"/>
      <c r="S20" s="28" t="n"/>
      <c r="T20" s="28" t="n"/>
      <c r="U20" s="28" t="n"/>
      <c r="V20" s="28" t="n"/>
      <c r="W20" s="28" t="n"/>
      <c r="X20" s="28" t="n"/>
      <c r="Y20" s="28" t="n"/>
      <c r="Z20" s="28" t="n"/>
      <c r="AA20" s="28" t="n"/>
      <c r="AB20" s="28" t="n">
        <v>335</v>
      </c>
      <c r="AC20" s="28" t="n">
        <v>365</v>
      </c>
      <c r="AD20" s="28" t="n"/>
      <c r="AE20" s="28" t="n"/>
      <c r="AF20" s="28" t="n"/>
      <c r="AG20" s="28" t="n"/>
      <c r="AH20" s="28" t="n"/>
      <c r="AI20" s="28" t="n"/>
      <c r="AJ20" s="28" t="n"/>
      <c r="AK20" s="28" t="n"/>
      <c r="AL20" s="28" t="n"/>
      <c r="AM20" s="28" t="n"/>
      <c r="AN20" s="28" t="n"/>
      <c r="AO20" s="28" t="n"/>
      <c r="AP20" s="28" t="n"/>
      <c r="AQ20" s="28" t="n"/>
      <c r="AR20" s="28" t="n"/>
      <c r="AS20" s="28" t="n"/>
      <c r="AT20" s="28" t="n"/>
      <c r="AU20" s="28" t="n"/>
      <c r="AV20" s="28" t="n"/>
      <c r="AW20" s="28" t="n"/>
      <c r="AX20" s="28" t="n"/>
      <c r="AY20" s="28" t="n"/>
      <c r="AZ20" s="28" t="n"/>
      <c r="BA20" s="28" t="n"/>
      <c r="BB20" s="28" t="n"/>
      <c r="BC20" s="28" t="n"/>
      <c r="BD20" s="28" t="n"/>
      <c r="BE20" s="28" t="n"/>
      <c r="BF20" s="28" t="n"/>
      <c r="BG20" s="28" t="n"/>
      <c r="BH20" s="28" t="n"/>
      <c r="BI20" s="28" t="n"/>
      <c r="BJ20" s="28" t="n"/>
      <c r="BK20" s="28" t="n"/>
      <c r="BL20" s="28" t="n"/>
      <c r="BM20" s="28" t="n"/>
      <c r="BN20" s="28" t="n"/>
      <c r="BO20" s="28" t="n"/>
      <c r="BP20" s="28" t="n"/>
      <c r="BQ20" s="28" t="n"/>
    </row>
  </sheetData>
  <mergeCells count="3">
    <mergeCell ref="A1:H4"/>
    <mergeCell ref="I3:J4"/>
    <mergeCell ref="F5:G5"/>
  </mergeCells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BQ31"/>
  <sheetViews>
    <sheetView showGridLines="0" zoomScale="70" zoomScaleNormal="70" workbookViewId="0">
      <pane xSplit="12" ySplit="5" topLeftCell="M6" activePane="bottomRight" state="frozen"/>
      <selection pane="topRight" activeCell="A1" sqref="A1"/>
      <selection pane="bottomLeft" activeCell="A1" sqref="A1"/>
      <selection pane="bottomRight" activeCell="R13" sqref="R13"/>
    </sheetView>
  </sheetViews>
  <sheetFormatPr baseColWidth="10" defaultColWidth="8.83203125" defaultRowHeight="15"/>
  <cols>
    <col width="12.6640625" customWidth="1" style="3" min="1" max="1"/>
    <col width="18.83203125" customWidth="1" style="91" min="2" max="2"/>
    <col width="25.1640625" customWidth="1" style="91" min="3" max="3"/>
    <col width="23" customWidth="1" style="3" min="4" max="4"/>
    <col width="63.33203125" customWidth="1" style="91" min="5" max="5"/>
    <col width="4.1640625" customWidth="1" style="3" min="6" max="7"/>
    <col width="9.6640625" customWidth="1" style="3" min="8" max="8"/>
    <col width="14.1640625" customWidth="1" style="3" min="9" max="9"/>
    <col width="9.6640625" customWidth="1" style="3" min="10" max="10"/>
    <col width="11.83203125" customWidth="1" style="3" min="11" max="11"/>
    <col width="12.33203125" customWidth="1" style="3" min="12" max="12"/>
  </cols>
  <sheetData>
    <row r="1" ht="16.25" customFormat="1" customHeight="1" s="101">
      <c r="A1" s="100" t="inlineStr">
        <is>
          <t>UP-3#床垫</t>
        </is>
      </c>
      <c r="J1" s="4" t="inlineStr">
        <is>
          <t>单班</t>
        </is>
      </c>
      <c r="K1" s="90" t="inlineStr">
        <is>
          <t>90000</t>
        </is>
      </c>
      <c r="L1" s="5" t="inlineStr">
        <is>
          <t>未排产计划</t>
        </is>
      </c>
      <c r="M1" s="107" t="n"/>
    </row>
    <row r="2" ht="16.25" customFormat="1" customHeight="1" s="101">
      <c r="J2" s="4" t="inlineStr">
        <is>
          <t>双班</t>
        </is>
      </c>
      <c r="K2" s="4" t="n">
        <v>209100</v>
      </c>
      <c r="L2" s="5" t="inlineStr">
        <is>
          <t>4月排产计划</t>
        </is>
      </c>
      <c r="M2" s="108">
        <f>SUM(#REF!)</f>
        <v/>
      </c>
      <c r="N2" s="109" t="inlineStr">
        <is>
          <t>单</t>
        </is>
      </c>
      <c r="O2" s="109" t="inlineStr">
        <is>
          <t>单</t>
        </is>
      </c>
      <c r="P2" s="109" t="inlineStr">
        <is>
          <t>单</t>
        </is>
      </c>
      <c r="Q2" s="109" t="inlineStr">
        <is>
          <t>单</t>
        </is>
      </c>
      <c r="R2" s="109" t="inlineStr"/>
      <c r="S2" s="109" t="inlineStr">
        <is>
          <t>单</t>
        </is>
      </c>
      <c r="T2" s="109" t="inlineStr">
        <is>
          <t>单</t>
        </is>
      </c>
      <c r="U2" s="109" t="inlineStr">
        <is>
          <t>单</t>
        </is>
      </c>
      <c r="V2" s="109" t="inlineStr">
        <is>
          <t>单</t>
        </is>
      </c>
      <c r="W2" s="109" t="inlineStr">
        <is>
          <t>单</t>
        </is>
      </c>
      <c r="X2" s="109" t="inlineStr">
        <is>
          <t>单</t>
        </is>
      </c>
      <c r="Y2" s="109" t="inlineStr"/>
      <c r="Z2" s="109" t="inlineStr">
        <is>
          <t>单</t>
        </is>
      </c>
      <c r="AA2" s="109" t="inlineStr">
        <is>
          <t>单</t>
        </is>
      </c>
      <c r="AB2" s="109" t="inlineStr">
        <is>
          <t>单</t>
        </is>
      </c>
      <c r="AC2" s="109" t="inlineStr">
        <is>
          <t>单</t>
        </is>
      </c>
      <c r="AD2" s="109" t="inlineStr">
        <is>
          <t>单</t>
        </is>
      </c>
      <c r="AE2" s="109" t="inlineStr">
        <is>
          <t>单</t>
        </is>
      </c>
      <c r="AF2" s="109" t="inlineStr"/>
      <c r="AG2" s="109" t="inlineStr">
        <is>
          <t>单</t>
        </is>
      </c>
      <c r="AH2" s="109" t="inlineStr">
        <is>
          <t>单</t>
        </is>
      </c>
      <c r="AI2" s="109" t="inlineStr">
        <is>
          <t>单</t>
        </is>
      </c>
      <c r="AJ2" s="109" t="inlineStr">
        <is>
          <t>单</t>
        </is>
      </c>
      <c r="AK2" s="109" t="inlineStr">
        <is>
          <t>单</t>
        </is>
      </c>
      <c r="AL2" s="109" t="inlineStr">
        <is>
          <t>单</t>
        </is>
      </c>
      <c r="AM2" s="109" t="inlineStr"/>
      <c r="AN2" s="109" t="inlineStr">
        <is>
          <t>单</t>
        </is>
      </c>
      <c r="AO2" s="109" t="inlineStr">
        <is>
          <t>单</t>
        </is>
      </c>
      <c r="AP2" s="109" t="inlineStr">
        <is>
          <t>单</t>
        </is>
      </c>
      <c r="AQ2" s="109" t="inlineStr">
        <is>
          <t>单</t>
        </is>
      </c>
      <c r="AR2" s="109" t="inlineStr">
        <is>
          <t>单</t>
        </is>
      </c>
      <c r="AS2" s="109" t="inlineStr">
        <is>
          <t>单</t>
        </is>
      </c>
      <c r="AT2" s="109" t="inlineStr"/>
      <c r="AU2" s="109" t="inlineStr">
        <is>
          <t>单</t>
        </is>
      </c>
      <c r="AV2" s="109" t="inlineStr">
        <is>
          <t>单</t>
        </is>
      </c>
      <c r="AW2" s="109" t="inlineStr">
        <is>
          <t>单</t>
        </is>
      </c>
      <c r="AX2" s="109" t="inlineStr">
        <is>
          <t>单</t>
        </is>
      </c>
      <c r="AY2" s="109" t="inlineStr">
        <is>
          <t>单</t>
        </is>
      </c>
      <c r="AZ2" s="109" t="inlineStr">
        <is>
          <t>单</t>
        </is>
      </c>
      <c r="BA2" s="109" t="inlineStr"/>
      <c r="BB2" s="109" t="inlineStr">
        <is>
          <t>单</t>
        </is>
      </c>
      <c r="BC2" s="109" t="inlineStr">
        <is>
          <t>单</t>
        </is>
      </c>
      <c r="BD2" s="109" t="inlineStr">
        <is>
          <t>单</t>
        </is>
      </c>
      <c r="BE2" s="109" t="inlineStr">
        <is>
          <t>单</t>
        </is>
      </c>
      <c r="BF2" s="109" t="inlineStr">
        <is>
          <t>单</t>
        </is>
      </c>
      <c r="BG2" s="109" t="inlineStr">
        <is>
          <t>单</t>
        </is>
      </c>
      <c r="BH2" s="109" t="inlineStr"/>
      <c r="BI2" s="109" t="inlineStr">
        <is>
          <t>单</t>
        </is>
      </c>
      <c r="BJ2" s="109" t="inlineStr">
        <is>
          <t>单</t>
        </is>
      </c>
      <c r="BK2" s="109" t="inlineStr">
        <is>
          <t>单</t>
        </is>
      </c>
      <c r="BL2" s="109" t="inlineStr">
        <is>
          <t>单</t>
        </is>
      </c>
      <c r="BM2" s="109" t="inlineStr">
        <is>
          <t>单</t>
        </is>
      </c>
      <c r="BN2" s="109" t="inlineStr">
        <is>
          <t>单</t>
        </is>
      </c>
      <c r="BO2" s="109" t="inlineStr">
        <is>
          <t>单</t>
        </is>
      </c>
      <c r="BP2" s="109" t="inlineStr">
        <is>
          <t>单</t>
        </is>
      </c>
      <c r="BQ2" s="109" t="inlineStr">
        <is>
          <t>单</t>
        </is>
      </c>
    </row>
    <row r="3" ht="17" customFormat="1" customHeight="1" s="101">
      <c r="J3" s="102" t="n"/>
      <c r="K3" s="103" t="n"/>
      <c r="N3" s="0">
        <f>MAX(0,ROWS(UNIQUE(FILTER($F7:$F31,(N7:N31&gt;0)*($F7:$F31&lt;&gt;""))))-1)*IF(N2="双",VLOOKUP($A$1,'换码设置'!$A:$C,2,FALSE),IF(N2="单",VLOOKUP($A$1,'换码设置'!$A:$C,3,FALSE),0))</f>
        <v/>
      </c>
      <c r="O3" s="0">
        <f>MAX(0,ROWS(UNIQUE(FILTER($F7:$F31,(O7:O31&gt;0)*($F7:$F31&lt;&gt;""))))-1)*IF(O2="双",VLOOKUP($A$1,'换码设置'!$A:$C,2,FALSE),IF(O2="单",VLOOKUP($A$1,'换码设置'!$A:$C,3,FALSE),0))</f>
        <v/>
      </c>
      <c r="P3" s="0">
        <f>MAX(0,ROWS(UNIQUE(FILTER($F7:$F31,(P7:P31&gt;0)*($F7:$F31&lt;&gt;""))))-1)*IF(P2="双",VLOOKUP($A$1,'换码设置'!$A:$C,2,FALSE),IF(P2="单",VLOOKUP($A$1,'换码设置'!$A:$C,3,FALSE),0))</f>
        <v/>
      </c>
      <c r="Q3" s="0">
        <f>MAX(0,ROWS(UNIQUE(FILTER($F7:$F31,(Q7:Q31&gt;0)*($F7:$F31&lt;&gt;""))))-1)*IF(Q2="双",VLOOKUP($A$1,'换码设置'!$A:$C,2,FALSE),IF(Q2="单",VLOOKUP($A$1,'换码设置'!$A:$C,3,FALSE),0))</f>
        <v/>
      </c>
      <c r="R3" s="0">
        <f>MAX(0,ROWS(UNIQUE(FILTER($F7:$F31,(R7:R31&gt;0)*($F7:$F31&lt;&gt;""))))-1)*IF(R2="双",VLOOKUP($A$1,'换码设置'!$A:$C,2,FALSE),IF(R2="单",VLOOKUP($A$1,'换码设置'!$A:$C,3,FALSE),0))</f>
        <v/>
      </c>
      <c r="S3" s="0">
        <f>MAX(0,ROWS(UNIQUE(FILTER($F7:$F31,(S7:S31&gt;0)*($F7:$F31&lt;&gt;""))))-1)*IF(S2="双",VLOOKUP($A$1,'换码设置'!$A:$C,2,FALSE),IF(S2="单",VLOOKUP($A$1,'换码设置'!$A:$C,3,FALSE),0))</f>
        <v/>
      </c>
      <c r="T3" s="0">
        <f>MAX(0,ROWS(UNIQUE(FILTER($F7:$F31,(T7:T31&gt;0)*($F7:$F31&lt;&gt;""))))-1)*IF(T2="双",VLOOKUP($A$1,'换码设置'!$A:$C,2,FALSE),IF(T2="单",VLOOKUP($A$1,'换码设置'!$A:$C,3,FALSE),0))</f>
        <v/>
      </c>
      <c r="U3" s="0">
        <f>MAX(0,ROWS(UNIQUE(FILTER($F7:$F31,(U7:U31&gt;0)*($F7:$F31&lt;&gt;""))))-1)*IF(U2="双",VLOOKUP($A$1,'换码设置'!$A:$C,2,FALSE),IF(U2="单",VLOOKUP($A$1,'换码设置'!$A:$C,3,FALSE),0))</f>
        <v/>
      </c>
      <c r="V3" s="0">
        <f>MAX(0,ROWS(UNIQUE(FILTER($F7:$F31,(V7:V31&gt;0)*($F7:$F31&lt;&gt;""))))-1)*IF(V2="双",VLOOKUP($A$1,'换码设置'!$A:$C,2,FALSE),IF(V2="单",VLOOKUP($A$1,'换码设置'!$A:$C,3,FALSE),0))</f>
        <v/>
      </c>
      <c r="W3" s="0">
        <f>MAX(0,ROWS(UNIQUE(FILTER($F7:$F31,(W7:W31&gt;0)*($F7:$F31&lt;&gt;""))))-1)*IF(W2="双",VLOOKUP($A$1,'换码设置'!$A:$C,2,FALSE),IF(W2="单",VLOOKUP($A$1,'换码设置'!$A:$C,3,FALSE),0))</f>
        <v/>
      </c>
      <c r="X3" s="0">
        <f>MAX(0,ROWS(UNIQUE(FILTER($F7:$F31,(X7:X31&gt;0)*($F7:$F31&lt;&gt;""))))-1)*IF(X2="双",VLOOKUP($A$1,'换码设置'!$A:$C,2,FALSE),IF(X2="单",VLOOKUP($A$1,'换码设置'!$A:$C,3,FALSE),0))</f>
        <v/>
      </c>
      <c r="Y3" s="0">
        <f>MAX(0,ROWS(UNIQUE(FILTER($F7:$F31,(Y7:Y31&gt;0)*($F7:$F31&lt;&gt;""))))-1)*IF(Y2="双",VLOOKUP($A$1,'换码设置'!$A:$C,2,FALSE),IF(Y2="单",VLOOKUP($A$1,'换码设置'!$A:$C,3,FALSE),0))</f>
        <v/>
      </c>
      <c r="Z3" s="0">
        <f>MAX(0,ROWS(UNIQUE(FILTER($F7:$F31,(Z7:Z31&gt;0)*($F7:$F31&lt;&gt;""))))-1)*IF(Z2="双",VLOOKUP($A$1,'换码设置'!$A:$C,2,FALSE),IF(Z2="单",VLOOKUP($A$1,'换码设置'!$A:$C,3,FALSE),0))</f>
        <v/>
      </c>
      <c r="AA3" s="0">
        <f>MAX(0,ROWS(UNIQUE(FILTER($F7:$F31,(AA7:AA31&gt;0)*($F7:$F31&lt;&gt;""))))-1)*IF(AA2="双",VLOOKUP($A$1,'换码设置'!$A:$C,2,FALSE),IF(AA2="单",VLOOKUP($A$1,'换码设置'!$A:$C,3,FALSE),0))</f>
        <v/>
      </c>
      <c r="AB3" s="0">
        <f>MAX(0,ROWS(UNIQUE(FILTER($F7:$F31,(AB7:AB31&gt;0)*($F7:$F31&lt;&gt;""))))-1)*IF(AB2="双",VLOOKUP($A$1,'换码设置'!$A:$C,2,FALSE),IF(AB2="单",VLOOKUP($A$1,'换码设置'!$A:$C,3,FALSE),0))</f>
        <v/>
      </c>
      <c r="AC3" s="0">
        <f>MAX(0,ROWS(UNIQUE(FILTER($F7:$F31,(AC7:AC31&gt;0)*($F7:$F31&lt;&gt;""))))-1)*IF(AC2="双",VLOOKUP($A$1,'换码设置'!$A:$C,2,FALSE),IF(AC2="单",VLOOKUP($A$1,'换码设置'!$A:$C,3,FALSE),0))</f>
        <v/>
      </c>
      <c r="AD3" s="0">
        <f>MAX(0,ROWS(UNIQUE(FILTER($F7:$F31,(AD7:AD31&gt;0)*($F7:$F31&lt;&gt;""))))-1)*IF(AD2="双",VLOOKUP($A$1,'换码设置'!$A:$C,2,FALSE),IF(AD2="单",VLOOKUP($A$1,'换码设置'!$A:$C,3,FALSE),0))</f>
        <v/>
      </c>
      <c r="AE3" s="0">
        <f>MAX(0,ROWS(UNIQUE(FILTER($F7:$F31,(AE7:AE31&gt;0)*($F7:$F31&lt;&gt;""))))-1)*IF(AE2="双",VLOOKUP($A$1,'换码设置'!$A:$C,2,FALSE),IF(AE2="单",VLOOKUP($A$1,'换码设置'!$A:$C,3,FALSE),0))</f>
        <v/>
      </c>
      <c r="AF3" s="0">
        <f>MAX(0,ROWS(UNIQUE(FILTER($F7:$F31,(AF7:AF31&gt;0)*($F7:$F31&lt;&gt;""))))-1)*IF(AF2="双",VLOOKUP($A$1,'换码设置'!$A:$C,2,FALSE),IF(AF2="单",VLOOKUP($A$1,'换码设置'!$A:$C,3,FALSE),0))</f>
        <v/>
      </c>
      <c r="AG3" s="0">
        <f>MAX(0,ROWS(UNIQUE(FILTER($F7:$F31,(AG7:AG31&gt;0)*($F7:$F31&lt;&gt;""))))-1)*IF(AG2="双",VLOOKUP($A$1,'换码设置'!$A:$C,2,FALSE),IF(AG2="单",VLOOKUP($A$1,'换码设置'!$A:$C,3,FALSE),0))</f>
        <v/>
      </c>
      <c r="AH3" s="0">
        <f>MAX(0,ROWS(UNIQUE(FILTER($F7:$F31,(AH7:AH31&gt;0)*($F7:$F31&lt;&gt;""))))-1)*IF(AH2="双",VLOOKUP($A$1,'换码设置'!$A:$C,2,FALSE),IF(AH2="单",VLOOKUP($A$1,'换码设置'!$A:$C,3,FALSE),0))</f>
        <v/>
      </c>
      <c r="AI3" s="0">
        <f>MAX(0,ROWS(UNIQUE(FILTER($F7:$F31,(AI7:AI31&gt;0)*($F7:$F31&lt;&gt;""))))-1)*IF(AI2="双",VLOOKUP($A$1,'换码设置'!$A:$C,2,FALSE),IF(AI2="单",VLOOKUP($A$1,'换码设置'!$A:$C,3,FALSE),0))</f>
        <v/>
      </c>
      <c r="AJ3" s="0">
        <f>MAX(0,ROWS(UNIQUE(FILTER($F7:$F31,(AJ7:AJ31&gt;0)*($F7:$F31&lt;&gt;""))))-1)*IF(AJ2="双",VLOOKUP($A$1,'换码设置'!$A:$C,2,FALSE),IF(AJ2="单",VLOOKUP($A$1,'换码设置'!$A:$C,3,FALSE),0))</f>
        <v/>
      </c>
      <c r="AK3" s="0">
        <f>MAX(0,ROWS(UNIQUE(FILTER($F7:$F31,(AK7:AK31&gt;0)*($F7:$F31&lt;&gt;""))))-1)*IF(AK2="双",VLOOKUP($A$1,'换码设置'!$A:$C,2,FALSE),IF(AK2="单",VLOOKUP($A$1,'换码设置'!$A:$C,3,FALSE),0))</f>
        <v/>
      </c>
      <c r="AL3" s="0">
        <f>MAX(0,ROWS(UNIQUE(FILTER($F7:$F31,(AL7:AL31&gt;0)*($F7:$F31&lt;&gt;""))))-1)*IF(AL2="双",VLOOKUP($A$1,'换码设置'!$A:$C,2,FALSE),IF(AL2="单",VLOOKUP($A$1,'换码设置'!$A:$C,3,FALSE),0))</f>
        <v/>
      </c>
      <c r="AM3" s="0">
        <f>MAX(0,ROWS(UNIQUE(FILTER($F7:$F31,(AM7:AM31&gt;0)*($F7:$F31&lt;&gt;""))))-1)*IF(AM2="双",VLOOKUP($A$1,'换码设置'!$A:$C,2,FALSE),IF(AM2="单",VLOOKUP($A$1,'换码设置'!$A:$C,3,FALSE),0))</f>
        <v/>
      </c>
      <c r="AN3" s="0">
        <f>MAX(0,ROWS(UNIQUE(FILTER($F7:$F31,(AN7:AN31&gt;0)*($F7:$F31&lt;&gt;""))))-1)*IF(AN2="双",VLOOKUP($A$1,'换码设置'!$A:$C,2,FALSE),IF(AN2="单",VLOOKUP($A$1,'换码设置'!$A:$C,3,FALSE),0))</f>
        <v/>
      </c>
      <c r="AO3" s="0">
        <f>MAX(0,ROWS(UNIQUE(FILTER($F7:$F31,(AO7:AO31&gt;0)*($F7:$F31&lt;&gt;""))))-1)*IF(AO2="双",VLOOKUP($A$1,'换码设置'!$A:$C,2,FALSE),IF(AO2="单",VLOOKUP($A$1,'换码设置'!$A:$C,3,FALSE),0))</f>
        <v/>
      </c>
      <c r="AP3" s="0">
        <f>MAX(0,ROWS(UNIQUE(FILTER($F7:$F31,(AP7:AP31&gt;0)*($F7:$F31&lt;&gt;""))))-1)*IF(AP2="双",VLOOKUP($A$1,'换码设置'!$A:$C,2,FALSE),IF(AP2="单",VLOOKUP($A$1,'换码设置'!$A:$C,3,FALSE),0))</f>
        <v/>
      </c>
      <c r="AQ3" s="0">
        <f>MAX(0,ROWS(UNIQUE(FILTER($F7:$F31,(AQ7:AQ31&gt;0)*($F7:$F31&lt;&gt;""))))-1)*IF(AQ2="双",VLOOKUP($A$1,'换码设置'!$A:$C,2,FALSE),IF(AQ2="单",VLOOKUP($A$1,'换码设置'!$A:$C,3,FALSE),0))</f>
        <v/>
      </c>
      <c r="AR3" s="0">
        <f>MAX(0,ROWS(UNIQUE(FILTER($F7:$F31,(AR7:AR31&gt;0)*($F7:$F31&lt;&gt;""))))-1)*IF(AR2="双",VLOOKUP($A$1,'换码设置'!$A:$C,2,FALSE),IF(AR2="单",VLOOKUP($A$1,'换码设置'!$A:$C,3,FALSE),0))</f>
        <v/>
      </c>
      <c r="AS3" s="0">
        <f>MAX(0,ROWS(UNIQUE(FILTER($F7:$F31,(AS7:AS31&gt;0)*($F7:$F31&lt;&gt;""))))-1)*IF(AS2="双",VLOOKUP($A$1,'换码设置'!$A:$C,2,FALSE),IF(AS2="单",VLOOKUP($A$1,'换码设置'!$A:$C,3,FALSE),0))</f>
        <v/>
      </c>
      <c r="AT3" s="0">
        <f>MAX(0,ROWS(UNIQUE(FILTER($F7:$F31,(AT7:AT31&gt;0)*($F7:$F31&lt;&gt;""))))-1)*IF(AT2="双",VLOOKUP($A$1,'换码设置'!$A:$C,2,FALSE),IF(AT2="单",VLOOKUP($A$1,'换码设置'!$A:$C,3,FALSE),0))</f>
        <v/>
      </c>
      <c r="AU3" s="0">
        <f>MAX(0,ROWS(UNIQUE(FILTER($F7:$F31,(AU7:AU31&gt;0)*($F7:$F31&lt;&gt;""))))-1)*IF(AU2="双",VLOOKUP($A$1,'换码设置'!$A:$C,2,FALSE),IF(AU2="单",VLOOKUP($A$1,'换码设置'!$A:$C,3,FALSE),0))</f>
        <v/>
      </c>
      <c r="AV3" s="0">
        <f>MAX(0,ROWS(UNIQUE(FILTER($F7:$F31,(AV7:AV31&gt;0)*($F7:$F31&lt;&gt;""))))-1)*IF(AV2="双",VLOOKUP($A$1,'换码设置'!$A:$C,2,FALSE),IF(AV2="单",VLOOKUP($A$1,'换码设置'!$A:$C,3,FALSE),0))</f>
        <v/>
      </c>
      <c r="AW3" s="0">
        <f>MAX(0,ROWS(UNIQUE(FILTER($F7:$F31,(AW7:AW31&gt;0)*($F7:$F31&lt;&gt;""))))-1)*IF(AW2="双",VLOOKUP($A$1,'换码设置'!$A:$C,2,FALSE),IF(AW2="单",VLOOKUP($A$1,'换码设置'!$A:$C,3,FALSE),0))</f>
        <v/>
      </c>
      <c r="AX3" s="0">
        <f>MAX(0,ROWS(UNIQUE(FILTER($F7:$F31,(AX7:AX31&gt;0)*($F7:$F31&lt;&gt;""))))-1)*IF(AX2="双",VLOOKUP($A$1,'换码设置'!$A:$C,2,FALSE),IF(AX2="单",VLOOKUP($A$1,'换码设置'!$A:$C,3,FALSE),0))</f>
        <v/>
      </c>
      <c r="AY3" s="0">
        <f>MAX(0,ROWS(UNIQUE(FILTER($F7:$F31,(AY7:AY31&gt;0)*($F7:$F31&lt;&gt;""))))-1)*IF(AY2="双",VLOOKUP($A$1,'换码设置'!$A:$C,2,FALSE),IF(AY2="单",VLOOKUP($A$1,'换码设置'!$A:$C,3,FALSE),0))</f>
        <v/>
      </c>
      <c r="AZ3" s="0">
        <f>MAX(0,ROWS(UNIQUE(FILTER($F7:$F31,(AZ7:AZ31&gt;0)*($F7:$F31&lt;&gt;""))))-1)*IF(AZ2="双",VLOOKUP($A$1,'换码设置'!$A:$C,2,FALSE),IF(AZ2="单",VLOOKUP($A$1,'换码设置'!$A:$C,3,FALSE),0))</f>
        <v/>
      </c>
      <c r="BA3" s="0">
        <f>MAX(0,ROWS(UNIQUE(FILTER($F7:$F31,(BA7:BA31&gt;0)*($F7:$F31&lt;&gt;""))))-1)*IF(BA2="双",VLOOKUP($A$1,'换码设置'!$A:$C,2,FALSE),IF(BA2="单",VLOOKUP($A$1,'换码设置'!$A:$C,3,FALSE),0))</f>
        <v/>
      </c>
      <c r="BB3" s="0">
        <f>MAX(0,ROWS(UNIQUE(FILTER($F7:$F31,(BB7:BB31&gt;0)*($F7:$F31&lt;&gt;""))))-1)*IF(BB2="双",VLOOKUP($A$1,'换码设置'!$A:$C,2,FALSE),IF(BB2="单",VLOOKUP($A$1,'换码设置'!$A:$C,3,FALSE),0))</f>
        <v/>
      </c>
      <c r="BC3" s="0">
        <f>MAX(0,ROWS(UNIQUE(FILTER($F7:$F31,(BC7:BC31&gt;0)*($F7:$F31&lt;&gt;""))))-1)*IF(BC2="双",VLOOKUP($A$1,'换码设置'!$A:$C,2,FALSE),IF(BC2="单",VLOOKUP($A$1,'换码设置'!$A:$C,3,FALSE),0))</f>
        <v/>
      </c>
      <c r="BD3" s="0">
        <f>MAX(0,ROWS(UNIQUE(FILTER($F7:$F31,(BD7:BD31&gt;0)*($F7:$F31&lt;&gt;""))))-1)*IF(BD2="双",VLOOKUP($A$1,'换码设置'!$A:$C,2,FALSE),IF(BD2="单",VLOOKUP($A$1,'换码设置'!$A:$C,3,FALSE),0))</f>
        <v/>
      </c>
      <c r="BE3" s="0">
        <f>MAX(0,ROWS(UNIQUE(FILTER($F7:$F31,(BE7:BE31&gt;0)*($F7:$F31&lt;&gt;""))))-1)*IF(BE2="双",VLOOKUP($A$1,'换码设置'!$A:$C,2,FALSE),IF(BE2="单",VLOOKUP($A$1,'换码设置'!$A:$C,3,FALSE),0))</f>
        <v/>
      </c>
      <c r="BF3" s="0">
        <f>MAX(0,ROWS(UNIQUE(FILTER($F7:$F31,(BF7:BF31&gt;0)*($F7:$F31&lt;&gt;""))))-1)*IF(BF2="双",VLOOKUP($A$1,'换码设置'!$A:$C,2,FALSE),IF(BF2="单",VLOOKUP($A$1,'换码设置'!$A:$C,3,FALSE),0))</f>
        <v/>
      </c>
      <c r="BG3" s="0">
        <f>MAX(0,ROWS(UNIQUE(FILTER($F7:$F31,(BG7:BG31&gt;0)*($F7:$F31&lt;&gt;""))))-1)*IF(BG2="双",VLOOKUP($A$1,'换码设置'!$A:$C,2,FALSE),IF(BG2="单",VLOOKUP($A$1,'换码设置'!$A:$C,3,FALSE),0))</f>
        <v/>
      </c>
      <c r="BH3" s="0">
        <f>MAX(0,ROWS(UNIQUE(FILTER($F7:$F31,(BH7:BH31&gt;0)*($F7:$F31&lt;&gt;""))))-1)*IF(BH2="双",VLOOKUP($A$1,'换码设置'!$A:$C,2,FALSE),IF(BH2="单",VLOOKUP($A$1,'换码设置'!$A:$C,3,FALSE),0))</f>
        <v/>
      </c>
      <c r="BI3" s="0">
        <f>MAX(0,ROWS(UNIQUE(FILTER($F7:$F31,(BI7:BI31&gt;0)*($F7:$F31&lt;&gt;""))))-1)*IF(BI2="双",VLOOKUP($A$1,'换码设置'!$A:$C,2,FALSE),IF(BI2="单",VLOOKUP($A$1,'换码设置'!$A:$C,3,FALSE),0))</f>
        <v/>
      </c>
      <c r="BJ3" s="0">
        <f>MAX(0,ROWS(UNIQUE(FILTER($F7:$F31,(BJ7:BJ31&gt;0)*($F7:$F31&lt;&gt;""))))-1)*IF(BJ2="双",VLOOKUP($A$1,'换码设置'!$A:$C,2,FALSE),IF(BJ2="单",VLOOKUP($A$1,'换码设置'!$A:$C,3,FALSE),0))</f>
        <v/>
      </c>
      <c r="BK3" s="0">
        <f>MAX(0,ROWS(UNIQUE(FILTER($F7:$F31,(BK7:BK31&gt;0)*($F7:$F31&lt;&gt;""))))-1)*IF(BK2="双",VLOOKUP($A$1,'换码设置'!$A:$C,2,FALSE),IF(BK2="单",VLOOKUP($A$1,'换码设置'!$A:$C,3,FALSE),0))</f>
        <v/>
      </c>
      <c r="BL3" s="0">
        <f>MAX(0,ROWS(UNIQUE(FILTER($F7:$F31,(BL7:BL31&gt;0)*($F7:$F31&lt;&gt;""))))-1)*IF(BL2="双",VLOOKUP($A$1,'换码设置'!$A:$C,2,FALSE),IF(BL2="单",VLOOKUP($A$1,'换码设置'!$A:$C,3,FALSE),0))</f>
        <v/>
      </c>
      <c r="BM3" s="0">
        <f>MAX(0,ROWS(UNIQUE(FILTER($F7:$F31,(BM7:BM31&gt;0)*($F7:$F31&lt;&gt;""))))-1)*IF(BM2="双",VLOOKUP($A$1,'换码设置'!$A:$C,2,FALSE),IF(BM2="单",VLOOKUP($A$1,'换码设置'!$A:$C,3,FALSE),0))</f>
        <v/>
      </c>
      <c r="BN3" s="0">
        <f>MAX(0,ROWS(UNIQUE(FILTER($F7:$F31,(BN7:BN31&gt;0)*($F7:$F31&lt;&gt;""))))-1)*IF(BN2="双",VLOOKUP($A$1,'换码设置'!$A:$C,2,FALSE),IF(BN2="单",VLOOKUP($A$1,'换码设置'!$A:$C,3,FALSE),0))</f>
        <v/>
      </c>
      <c r="BO3" s="0">
        <f>MAX(0,ROWS(UNIQUE(FILTER($F7:$F31,(BO7:BO31&gt;0)*($F7:$F31&lt;&gt;""))))-1)*IF(BO2="双",VLOOKUP($A$1,'换码设置'!$A:$C,2,FALSE),IF(BO2="单",VLOOKUP($A$1,'换码设置'!$A:$C,3,FALSE),0))</f>
        <v/>
      </c>
      <c r="BP3" s="0">
        <f>MAX(0,ROWS(UNIQUE(FILTER($F7:$F31,(BP7:BP31&gt;0)*($F7:$F31&lt;&gt;""))))-1)*IF(BP2="双",VLOOKUP($A$1,'换码设置'!$A:$C,2,FALSE),IF(BP2="单",VLOOKUP($A$1,'换码设置'!$A:$C,3,FALSE),0))</f>
        <v/>
      </c>
      <c r="BQ3" s="0">
        <f>MAX(0,ROWS(UNIQUE(FILTER($F7:$F31,(BQ7:BQ31&gt;0)*($F7:$F31&lt;&gt;""))))-1)*IF(BQ2="双",VLOOKUP($A$1,'换码设置'!$A:$C,2,FALSE),IF(BQ2="单",VLOOKUP($A$1,'换码设置'!$A:$C,3,FALSE),0))</f>
        <v/>
      </c>
    </row>
    <row r="4" ht="17" customFormat="1" customHeight="1" s="101">
      <c r="K4" s="103" t="n"/>
      <c r="L4" s="5" t="inlineStr">
        <is>
          <t>5月排产计划</t>
        </is>
      </c>
      <c r="M4" s="108">
        <f>SUM(M5:AL5)</f>
        <v/>
      </c>
      <c r="N4" s="109" t="n">
        <v>46148</v>
      </c>
      <c r="O4" s="109" t="n">
        <v>46149</v>
      </c>
      <c r="P4" s="109" t="n">
        <v>46150</v>
      </c>
      <c r="Q4" s="109" t="n">
        <v>46151</v>
      </c>
      <c r="R4" s="109" t="n">
        <v>46152</v>
      </c>
      <c r="S4" s="109" t="n">
        <v>46153</v>
      </c>
      <c r="T4" s="109" t="n">
        <v>46154</v>
      </c>
      <c r="U4" s="109" t="n">
        <v>46155</v>
      </c>
      <c r="V4" s="109" t="n">
        <v>46156</v>
      </c>
      <c r="W4" s="109" t="n">
        <v>46157</v>
      </c>
      <c r="X4" s="109" t="n">
        <v>46158</v>
      </c>
      <c r="Y4" s="109" t="n">
        <v>46159</v>
      </c>
      <c r="Z4" s="109" t="n">
        <v>46160</v>
      </c>
      <c r="AA4" s="109" t="n">
        <v>46161</v>
      </c>
      <c r="AB4" s="109" t="n">
        <v>46162</v>
      </c>
      <c r="AC4" s="109" t="n">
        <v>46163</v>
      </c>
      <c r="AD4" s="109" t="n">
        <v>46164</v>
      </c>
      <c r="AE4" s="109" t="n">
        <v>46165</v>
      </c>
      <c r="AF4" s="109" t="n">
        <v>46166</v>
      </c>
      <c r="AG4" s="109" t="n">
        <v>46167</v>
      </c>
      <c r="AH4" s="109" t="n">
        <v>46168</v>
      </c>
      <c r="AI4" s="109" t="n">
        <v>46169</v>
      </c>
      <c r="AJ4" s="109" t="n">
        <v>46170</v>
      </c>
      <c r="AK4" s="109" t="n">
        <v>46171</v>
      </c>
      <c r="AL4" s="109" t="n">
        <v>46172</v>
      </c>
      <c r="AM4" s="109" t="n">
        <v>46173</v>
      </c>
      <c r="AN4" s="109" t="n">
        <v>46174</v>
      </c>
      <c r="AO4" s="109" t="n">
        <v>46175</v>
      </c>
      <c r="AP4" s="109" t="n">
        <v>46176</v>
      </c>
      <c r="AQ4" s="109" t="n">
        <v>46177</v>
      </c>
      <c r="AR4" s="109" t="n">
        <v>46178</v>
      </c>
      <c r="AS4" s="109" t="n">
        <v>46179</v>
      </c>
      <c r="AT4" s="109" t="n">
        <v>46180</v>
      </c>
      <c r="AU4" s="109" t="n">
        <v>46181</v>
      </c>
      <c r="AV4" s="109" t="n">
        <v>46182</v>
      </c>
      <c r="AW4" s="109" t="n">
        <v>46183</v>
      </c>
      <c r="AX4" s="109" t="n">
        <v>46184</v>
      </c>
      <c r="AY4" s="109" t="n">
        <v>46185</v>
      </c>
      <c r="AZ4" s="109" t="n">
        <v>46186</v>
      </c>
      <c r="BA4" s="109" t="n">
        <v>46187</v>
      </c>
      <c r="BB4" s="109" t="n">
        <v>46188</v>
      </c>
      <c r="BC4" s="109" t="n">
        <v>46189</v>
      </c>
      <c r="BD4" s="109" t="n">
        <v>46190</v>
      </c>
      <c r="BE4" s="109" t="n">
        <v>46191</v>
      </c>
      <c r="BF4" s="109" t="n">
        <v>46192</v>
      </c>
      <c r="BG4" s="109" t="n">
        <v>46193</v>
      </c>
      <c r="BH4" s="109" t="n">
        <v>46194</v>
      </c>
      <c r="BI4" s="109" t="n">
        <v>46195</v>
      </c>
      <c r="BJ4" s="109" t="n">
        <v>46196</v>
      </c>
      <c r="BK4" s="109" t="n">
        <v>46197</v>
      </c>
      <c r="BL4" s="109" t="n">
        <v>46198</v>
      </c>
      <c r="BM4" s="109" t="n">
        <v>46199</v>
      </c>
      <c r="BN4" s="109" t="n">
        <v>46200</v>
      </c>
      <c r="BO4" s="109" t="n">
        <v>46201</v>
      </c>
      <c r="BP4" s="109" t="n">
        <v>46202</v>
      </c>
      <c r="BQ4" s="109" t="n">
        <v>46203</v>
      </c>
    </row>
    <row r="5" ht="15.5" customFormat="1" customHeight="1" s="101">
      <c r="G5" s="101" t="n"/>
      <c r="J5" s="95" t="n"/>
      <c r="K5" s="96" t="n"/>
      <c r="L5" s="5" t="inlineStr">
        <is>
          <t>目前总共订单</t>
        </is>
      </c>
      <c r="M5" s="110">
        <f>SUM(L1:L3)</f>
        <v/>
      </c>
      <c r="N5" s="10">
        <f>IF(N2="单",$K$1,IF(N2="双",$K$2,0))-N3-N6</f>
        <v/>
      </c>
      <c r="O5" s="10">
        <f>IF(O2="单",$K$1,IF(O2="双",$K$2,0))-O3-O6</f>
        <v/>
      </c>
      <c r="P5" s="10">
        <f>IF(P2="单",$K$1,IF(P2="双",$K$2,0))-P3-P6</f>
        <v/>
      </c>
      <c r="Q5" s="10">
        <f>IF(Q2="单",$K$1,IF(Q2="双",$K$2,0))-Q3-Q6</f>
        <v/>
      </c>
      <c r="R5" s="10">
        <f>IF(R2="单",$K$1,IF(R2="双",$K$2,0))-R3-R6</f>
        <v/>
      </c>
      <c r="S5" s="10">
        <f>IF(S2="单",$K$1,IF(S2="双",$K$2,0))-S3-S6</f>
        <v/>
      </c>
      <c r="T5" s="10">
        <f>IF(T2="单",$K$1,IF(T2="双",$K$2,0))-T3-T6</f>
        <v/>
      </c>
      <c r="U5" s="10">
        <f>IF(U2="单",$K$1,IF(U2="双",$K$2,0))-U3-U6</f>
        <v/>
      </c>
      <c r="V5" s="10">
        <f>IF(V2="单",$K$1,IF(V2="双",$K$2,0))-V3-V6</f>
        <v/>
      </c>
      <c r="W5" s="10">
        <f>IF(W2="单",$K$1,IF(W2="双",$K$2,0))-W3-W6</f>
        <v/>
      </c>
      <c r="X5" s="10">
        <f>IF(X2="单",$K$1,IF(X2="双",$K$2,0))-X3-X6</f>
        <v/>
      </c>
      <c r="Y5" s="10">
        <f>IF(Y2="单",$K$1,IF(Y2="双",$K$2,0))-Y3-Y6</f>
        <v/>
      </c>
      <c r="Z5" s="10">
        <f>IF(Z2="单",$K$1,IF(Z2="双",$K$2,0))-Z3-Z6</f>
        <v/>
      </c>
      <c r="AA5" s="10">
        <f>IF(AA2="单",$K$1,IF(AA2="双",$K$2,0))-AA3-AA6</f>
        <v/>
      </c>
      <c r="AB5" s="10">
        <f>IF(AB2="单",$K$1,IF(AB2="双",$K$2,0))-AB3-AB6</f>
        <v/>
      </c>
      <c r="AC5" s="10">
        <f>IF(AC2="单",$K$1,IF(AC2="双",$K$2,0))-AC3-AC6</f>
        <v/>
      </c>
      <c r="AD5" s="10">
        <f>IF(AD2="单",$K$1,IF(AD2="双",$K$2,0))-AD3-AD6</f>
        <v/>
      </c>
      <c r="AE5" s="10">
        <f>IF(AE2="单",$K$1,IF(AE2="双",$K$2,0))-AE3-AE6</f>
        <v/>
      </c>
      <c r="AF5" s="10">
        <f>IF(AF2="单",$K$1,IF(AF2="双",$K$2,0))-AF3-AF6</f>
        <v/>
      </c>
      <c r="AG5" s="10">
        <f>IF(AG2="单",$K$1,IF(AG2="双",$K$2,0))-AG3-AG6</f>
        <v/>
      </c>
      <c r="AH5" s="10">
        <f>IF(AH2="单",$K$1,IF(AH2="双",$K$2,0))-AH3-AH6</f>
        <v/>
      </c>
      <c r="AI5" s="10">
        <f>IF(AI2="单",$K$1,IF(AI2="双",$K$2,0))-AI3-AI6</f>
        <v/>
      </c>
      <c r="AJ5" s="10">
        <f>IF(AJ2="单",$K$1,IF(AJ2="双",$K$2,0))-AJ3-AJ6</f>
        <v/>
      </c>
      <c r="AK5" s="10">
        <f>IF(AK2="单",$K$1,IF(AK2="双",$K$2,0))-AK3-AK6</f>
        <v/>
      </c>
      <c r="AL5" s="10">
        <f>IF(AL2="单",$K$1,IF(AL2="双",$K$2,0))-AL3-AL6</f>
        <v/>
      </c>
      <c r="AM5" s="10">
        <f>IF(AM2="单",$K$1,IF(AM2="双",$K$2,0))-AM3-AM6</f>
        <v/>
      </c>
      <c r="AN5" s="10">
        <f>IF(AN2="单",$K$1,IF(AN2="双",$K$2,0))-AN3-AN6</f>
        <v/>
      </c>
      <c r="AO5" s="10">
        <f>IF(AO2="单",$K$1,IF(AO2="双",$K$2,0))-AO3-AO6</f>
        <v/>
      </c>
      <c r="AP5" s="10">
        <f>IF(AP2="单",$K$1,IF(AP2="双",$K$2,0))-AP3-AP6</f>
        <v/>
      </c>
      <c r="AQ5" s="10">
        <f>IF(AQ2="单",$K$1,IF(AQ2="双",$K$2,0))-AQ3-AQ6</f>
        <v/>
      </c>
      <c r="AR5" s="10">
        <f>IF(AR2="单",$K$1,IF(AR2="双",$K$2,0))-AR3-AR6</f>
        <v/>
      </c>
      <c r="AS5" s="10">
        <f>IF(AS2="单",$K$1,IF(AS2="双",$K$2,0))-AS3-AS6</f>
        <v/>
      </c>
      <c r="AT5" s="10">
        <f>IF(AT2="单",$K$1,IF(AT2="双",$K$2,0))-AT3-AT6</f>
        <v/>
      </c>
      <c r="AU5" s="10">
        <f>IF(AU2="单",$K$1,IF(AU2="双",$K$2,0))-AU3-AU6</f>
        <v/>
      </c>
      <c r="AV5" s="10">
        <f>IF(AV2="单",$K$1,IF(AV2="双",$K$2,0))-AV3-AV6</f>
        <v/>
      </c>
      <c r="AW5" s="10">
        <f>IF(AW2="单",$K$1,IF(AW2="双",$K$2,0))-AW3-AW6</f>
        <v/>
      </c>
      <c r="AX5" s="10">
        <f>IF(AX2="单",$K$1,IF(AX2="双",$K$2,0))-AX3-AX6</f>
        <v/>
      </c>
      <c r="AY5" s="10">
        <f>IF(AY2="单",$K$1,IF(AY2="双",$K$2,0))-AY3-AY6</f>
        <v/>
      </c>
      <c r="AZ5" s="10">
        <f>IF(AZ2="单",$K$1,IF(AZ2="双",$K$2,0))-AZ3-AZ6</f>
        <v/>
      </c>
      <c r="BA5" s="10">
        <f>IF(BA2="单",$K$1,IF(BA2="双",$K$2,0))-BA3-BA6</f>
        <v/>
      </c>
      <c r="BB5" s="10">
        <f>IF(BB2="单",$K$1,IF(BB2="双",$K$2,0))-BB3-BB6</f>
        <v/>
      </c>
      <c r="BC5" s="10">
        <f>IF(BC2="单",$K$1,IF(BC2="双",$K$2,0))-BC3-BC6</f>
        <v/>
      </c>
      <c r="BD5" s="10">
        <f>IF(BD2="单",$K$1,IF(BD2="双",$K$2,0))-BD3-BD6</f>
        <v/>
      </c>
      <c r="BE5" s="10">
        <f>IF(BE2="单",$K$1,IF(BE2="双",$K$2,0))-BE3-BE6</f>
        <v/>
      </c>
      <c r="BF5" s="10">
        <f>IF(BF2="单",$K$1,IF(BF2="双",$K$2,0))-BF3-BF6</f>
        <v/>
      </c>
      <c r="BG5" s="10">
        <f>IF(BG2="单",$K$1,IF(BG2="双",$K$2,0))-BG3-BG6</f>
        <v/>
      </c>
      <c r="BH5" s="10">
        <f>IF(BH2="单",$K$1,IF(BH2="双",$K$2,0))-BH3-BH6</f>
        <v/>
      </c>
      <c r="BI5" s="10">
        <f>IF(BI2="单",$K$1,IF(BI2="双",$K$2,0))-BI3-BI6</f>
        <v/>
      </c>
      <c r="BJ5" s="10">
        <f>IF(BJ2="单",$K$1,IF(BJ2="双",$K$2,0))-BJ3-BJ6</f>
        <v/>
      </c>
      <c r="BK5" s="10">
        <f>IF(BK2="单",$K$1,IF(BK2="双",$K$2,0))-BK3-BK6</f>
        <v/>
      </c>
      <c r="BL5" s="10">
        <f>IF(BL2="单",$K$1,IF(BL2="双",$K$2,0))-BL3-BL6</f>
        <v/>
      </c>
      <c r="BM5" s="10">
        <f>IF(BM2="单",$K$1,IF(BM2="双",$K$2,0))-BM3-BM6</f>
        <v/>
      </c>
      <c r="BN5" s="10">
        <f>IF(BN2="单",$K$1,IF(BN2="双",$K$2,0))-BN3-BN6</f>
        <v/>
      </c>
      <c r="BO5" s="10">
        <f>IF(BO2="单",$K$1,IF(BO2="双",$K$2,0))-BO3-BO6</f>
        <v/>
      </c>
      <c r="BP5" s="10">
        <f>IF(BP2="单",$K$1,IF(BP2="双",$K$2,0))-BP3-BP6</f>
        <v/>
      </c>
      <c r="BQ5" s="10">
        <f>IF(BQ2="单",$K$1,IF(BQ2="双",$K$2,0))-BQ3-BQ6</f>
        <v/>
      </c>
    </row>
    <row r="6" ht="17.5" customHeight="1" s="91">
      <c r="A6" s="11" t="inlineStr">
        <is>
          <t>物料号</t>
        </is>
      </c>
      <c r="B6" s="11" t="inlineStr">
        <is>
          <t>备注</t>
        </is>
      </c>
      <c r="C6" s="11" t="inlineStr">
        <is>
          <t>合同号</t>
        </is>
      </c>
      <c r="D6" s="11" t="inlineStr">
        <is>
          <t>生产单编号</t>
        </is>
      </c>
      <c r="E6" s="12" t="inlineStr">
        <is>
          <t>产品</t>
        </is>
      </c>
      <c r="F6" t="inlineStr">
        <is>
          <t>尺码</t>
        </is>
      </c>
      <c r="G6" s="97" t="inlineStr">
        <is>
          <t>规格(p*b*z)</t>
        </is>
      </c>
      <c r="H6" s="98" t="n"/>
      <c r="I6" s="111" t="inlineStr">
        <is>
          <t>下单时间</t>
        </is>
      </c>
      <c r="J6" s="112" t="inlineStr">
        <is>
          <t>最晚交货时间</t>
        </is>
      </c>
      <c r="K6" s="15" t="inlineStr">
        <is>
          <t>下单箱数</t>
        </is>
      </c>
      <c r="L6" s="16" t="inlineStr">
        <is>
          <t>下单片数</t>
        </is>
      </c>
      <c r="M6" s="17" t="inlineStr">
        <is>
          <t>剩余排产</t>
        </is>
      </c>
      <c r="N6" s="17">
        <f>SUMPRODUCT($G7:$G9964,$H7:$H9964,N$7:N$9964)</f>
        <v/>
      </c>
      <c r="O6" s="17">
        <f>SUMPRODUCT($G7:$G9964,$H7:$H9964,O$7:O$9964)</f>
        <v/>
      </c>
      <c r="P6" s="17">
        <f>SUMPRODUCT($G7:$G9964,$H7:$H9964,P$7:P$9964)</f>
        <v/>
      </c>
      <c r="Q6" s="17">
        <f>SUMPRODUCT($G7:$G9964,$H7:$H9964,Q$7:Q$9964)</f>
        <v/>
      </c>
      <c r="R6" s="17">
        <f>SUMPRODUCT($G7:$G9964,$H7:$H9964,R$7:R$9964)</f>
        <v/>
      </c>
      <c r="S6" s="17">
        <f>SUMPRODUCT($G7:$G9964,$H7:$H9964,S$7:S$9964)</f>
        <v/>
      </c>
      <c r="T6" s="17">
        <f>SUMPRODUCT($G7:$G9964,$H7:$H9964,T$7:T$9964)</f>
        <v/>
      </c>
      <c r="U6" s="17">
        <f>SUMPRODUCT($G7:$G9964,$H7:$H9964,U$7:U$9964)</f>
        <v/>
      </c>
      <c r="V6" s="17">
        <f>SUMPRODUCT($G7:$G9964,$H7:$H9964,V$7:V$9964)</f>
        <v/>
      </c>
      <c r="W6" s="17">
        <f>SUMPRODUCT($G7:$G9964,$H7:$H9964,W$7:W$9964)</f>
        <v/>
      </c>
      <c r="X6" s="17">
        <f>SUMPRODUCT($G7:$G9964,$H7:$H9964,X$7:X$9964)</f>
        <v/>
      </c>
      <c r="Y6" s="17">
        <f>SUMPRODUCT($G7:$G9964,$H7:$H9964,Y$7:Y$9964)</f>
        <v/>
      </c>
      <c r="Z6" s="17">
        <f>SUMPRODUCT($G7:$G9964,$H7:$H9964,Z$7:Z$9964)</f>
        <v/>
      </c>
      <c r="AA6" s="17">
        <f>SUMPRODUCT($G7:$G9964,$H7:$H9964,AA$7:AA$9964)</f>
        <v/>
      </c>
      <c r="AB6" s="17">
        <f>SUMPRODUCT($G7:$G9964,$H7:$H9964,AB$7:AB$9964)</f>
        <v/>
      </c>
      <c r="AC6" s="17">
        <f>SUMPRODUCT($G7:$G9964,$H7:$H9964,AC$7:AC$9964)</f>
        <v/>
      </c>
      <c r="AD6" s="17">
        <f>SUMPRODUCT($G7:$G9964,$H7:$H9964,AD$7:AD$9964)</f>
        <v/>
      </c>
      <c r="AE6" s="17">
        <f>SUMPRODUCT($G7:$G9964,$H7:$H9964,AE$7:AE$9964)</f>
        <v/>
      </c>
      <c r="AF6" s="17">
        <f>SUMPRODUCT($G7:$G9964,$H7:$H9964,AF$7:AF$9964)</f>
        <v/>
      </c>
      <c r="AG6" s="17">
        <f>SUMPRODUCT($G7:$G9964,$H7:$H9964,AG$7:AG$9964)</f>
        <v/>
      </c>
      <c r="AH6" s="17">
        <f>SUMPRODUCT($G7:$G9964,$H7:$H9964,AH$7:AH$9964)</f>
        <v/>
      </c>
      <c r="AI6" s="17">
        <f>SUMPRODUCT($G7:$G9964,$H7:$H9964,AI$7:AI$9964)</f>
        <v/>
      </c>
      <c r="AJ6" s="17">
        <f>SUMPRODUCT($G7:$G9964,$H7:$H9964,AJ$7:AJ$9964)</f>
        <v/>
      </c>
      <c r="AK6" s="17">
        <f>SUMPRODUCT($G7:$G9964,$H7:$H9964,AK$7:AK$9964)</f>
        <v/>
      </c>
      <c r="AL6" s="17">
        <f>SUMPRODUCT($G7:$G9964,$H7:$H9964,AL$7:AL$9964)</f>
        <v/>
      </c>
      <c r="AM6" s="17">
        <f>SUMPRODUCT($G7:$G9964,$H7:$H9964,AM$7:AM$9964)</f>
        <v/>
      </c>
      <c r="AN6" s="17">
        <f>SUMPRODUCT($G7:$G9964,$H7:$H9964,AN$7:AN$9964)</f>
        <v/>
      </c>
      <c r="AO6" s="17">
        <f>SUMPRODUCT($G7:$G9964,$H7:$H9964,AO$7:AO$9964)</f>
        <v/>
      </c>
      <c r="AP6" s="17">
        <f>SUMPRODUCT($G7:$G9964,$H7:$H9964,AP$7:AP$9964)</f>
        <v/>
      </c>
      <c r="AQ6" s="17">
        <f>SUMPRODUCT($G7:$G9964,$H7:$H9964,AQ$7:AQ$9964)</f>
        <v/>
      </c>
      <c r="AR6" s="17">
        <f>SUMPRODUCT($G7:$G9964,$H7:$H9964,AR$7:AR$9964)</f>
        <v/>
      </c>
      <c r="AS6" s="17">
        <f>SUMPRODUCT($G7:$G9964,$H7:$H9964,AS$7:AS$9964)</f>
        <v/>
      </c>
      <c r="AT6" s="17">
        <f>SUMPRODUCT($G7:$G9964,$H7:$H9964,AT$7:AT$9964)</f>
        <v/>
      </c>
      <c r="AU6" s="17">
        <f>SUMPRODUCT($G7:$G9964,$H7:$H9964,AU$7:AU$9964)</f>
        <v/>
      </c>
      <c r="AV6" s="17">
        <f>SUMPRODUCT($G7:$G9964,$H7:$H9964,AV$7:AV$9964)</f>
        <v/>
      </c>
      <c r="AW6" s="17">
        <f>SUMPRODUCT($G7:$G9964,$H7:$H9964,AW$7:AW$9964)</f>
        <v/>
      </c>
      <c r="AX6" s="17">
        <f>SUMPRODUCT($G7:$G9964,$H7:$H9964,AX$7:AX$9964)</f>
        <v/>
      </c>
      <c r="AY6" s="17">
        <f>SUMPRODUCT($G7:$G9964,$H7:$H9964,AY$7:AY$9964)</f>
        <v/>
      </c>
      <c r="AZ6" s="17">
        <f>SUMPRODUCT($G7:$G9964,$H7:$H9964,AZ$7:AZ$9964)</f>
        <v/>
      </c>
      <c r="BA6" s="17">
        <f>SUMPRODUCT($G7:$G9964,$H7:$H9964,BA$7:BA$9964)</f>
        <v/>
      </c>
      <c r="BB6" s="17">
        <f>SUMPRODUCT($G7:$G9964,$H7:$H9964,BB$7:BB$9964)</f>
        <v/>
      </c>
      <c r="BC6" s="17">
        <f>SUMPRODUCT($G7:$G9964,$H7:$H9964,BC$7:BC$9964)</f>
        <v/>
      </c>
      <c r="BD6" s="17">
        <f>SUMPRODUCT($G7:$G9964,$H7:$H9964,BD$7:BD$9964)</f>
        <v/>
      </c>
      <c r="BE6" s="17">
        <f>SUMPRODUCT($G7:$G9964,$H7:$H9964,BE$7:BE$9964)</f>
        <v/>
      </c>
      <c r="BF6" s="17">
        <f>SUMPRODUCT($G7:$G9964,$H7:$H9964,BF$7:BF$9964)</f>
        <v/>
      </c>
      <c r="BG6" s="17">
        <f>SUMPRODUCT($G7:$G9964,$H7:$H9964,BG$7:BG$9964)</f>
        <v/>
      </c>
      <c r="BH6" s="17">
        <f>SUMPRODUCT($G7:$G9964,$H7:$H9964,BH$7:BH$9964)</f>
        <v/>
      </c>
      <c r="BI6" s="17">
        <f>SUMPRODUCT($G7:$G9964,$H7:$H9964,BI$7:BI$9964)</f>
        <v/>
      </c>
      <c r="BJ6" s="17">
        <f>SUMPRODUCT($G7:$G9964,$H7:$H9964,BJ$7:BJ$9964)</f>
        <v/>
      </c>
      <c r="BK6" s="17">
        <f>SUMPRODUCT($G7:$G9964,$H7:$H9964,BK$7:BK$9964)</f>
        <v/>
      </c>
      <c r="BL6" s="17">
        <f>SUMPRODUCT($G7:$G9964,$H7:$H9964,BL$7:BL$9964)</f>
        <v/>
      </c>
      <c r="BM6" s="17">
        <f>SUMPRODUCT($G7:$G9964,$H7:$H9964,BM$7:BM$9964)</f>
        <v/>
      </c>
      <c r="BN6" s="17">
        <f>SUMPRODUCT($G7:$G9964,$H7:$H9964,BN$7:BN$9964)</f>
        <v/>
      </c>
      <c r="BO6" s="17">
        <f>SUMPRODUCT($G7:$G9964,$H7:$H9964,BO$7:BO$9964)</f>
        <v/>
      </c>
      <c r="BP6" s="17">
        <f>SUMPRODUCT($G7:$G9964,$H7:$H9964,BP$7:BP$9964)</f>
        <v/>
      </c>
      <c r="BQ6" s="17">
        <f>SUMPRODUCT($G7:$G9964,$H7:$H9964,BQ$7:BQ$9964)</f>
        <v/>
      </c>
    </row>
    <row r="7" ht="14" customHeight="1" s="91">
      <c r="A7" s="35" t="inlineStr">
        <is>
          <t>1.2.03.683</t>
        </is>
      </c>
      <c r="B7" s="35" t="n"/>
      <c r="C7" s="35" t="n"/>
      <c r="D7" s="19" t="inlineStr">
        <is>
          <t>WO-ZZ00020570</t>
        </is>
      </c>
      <c r="E7" s="40" t="inlineStr">
        <is>
          <t>康宝 床垫XL码90*60cm (8+1)片*16包</t>
        </is>
      </c>
      <c r="F7" t="inlineStr">
        <is>
          <t>XL</t>
        </is>
      </c>
      <c r="G7" s="25" t="n">
        <v>9</v>
      </c>
      <c r="H7" s="25" t="n">
        <v>16</v>
      </c>
      <c r="I7" s="123" t="n"/>
      <c r="J7" s="126" t="n"/>
      <c r="K7" s="25" t="n">
        <v>1513</v>
      </c>
      <c r="L7" s="25">
        <f>F6*G6*J6</f>
        <v/>
      </c>
      <c r="M7" s="43" t="n">
        <v>0</v>
      </c>
      <c r="N7" s="28" t="n">
        <v>625</v>
      </c>
      <c r="O7" s="28" t="n">
        <v>625</v>
      </c>
      <c r="P7" s="28" t="n">
        <v>263</v>
      </c>
      <c r="Q7" s="28" t="n"/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  <c r="AA7" s="28" t="n"/>
      <c r="AB7" s="28" t="n"/>
      <c r="AC7" s="28" t="n"/>
      <c r="AD7" s="28" t="n"/>
      <c r="AE7" s="28" t="n"/>
      <c r="AF7" s="28" t="n"/>
      <c r="AG7" s="28" t="n"/>
      <c r="AH7" s="28" t="n"/>
      <c r="AI7" s="28" t="n"/>
      <c r="AJ7" s="28" t="n"/>
      <c r="AK7" s="28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  <c r="BP7" s="28" t="n"/>
      <c r="BQ7" s="28" t="n"/>
    </row>
    <row r="8" ht="17.5" customFormat="1" customHeight="1" s="2">
      <c r="A8" s="25" t="inlineStr">
        <is>
          <t>1.2.03.683</t>
        </is>
      </c>
      <c r="B8" s="25" t="n"/>
      <c r="C8" s="25" t="n"/>
      <c r="D8" s="25" t="inlineStr">
        <is>
          <t>WO-ZZ00020550</t>
        </is>
      </c>
      <c r="E8" s="40" t="inlineStr">
        <is>
          <t>康宝 床垫XL码90*60cm (8+1)片*16包</t>
        </is>
      </c>
      <c r="F8" t="inlineStr">
        <is>
          <t>XL</t>
        </is>
      </c>
      <c r="G8" s="25" t="n">
        <v>9</v>
      </c>
      <c r="H8" s="25" t="n">
        <v>16</v>
      </c>
      <c r="I8" s="123" t="n"/>
      <c r="J8" s="126" t="n"/>
      <c r="K8" s="25" t="n">
        <v>2000</v>
      </c>
      <c r="L8" s="25">
        <f>F7*G7*J7</f>
        <v/>
      </c>
      <c r="M8" s="43" t="n">
        <v>0</v>
      </c>
      <c r="N8" s="28" t="n"/>
      <c r="O8" s="28" t="n"/>
      <c r="P8" s="28" t="n">
        <v>362</v>
      </c>
      <c r="Q8" s="28" t="n">
        <v>625</v>
      </c>
      <c r="R8" s="28" t="n"/>
      <c r="S8" s="28" t="n">
        <v>625</v>
      </c>
      <c r="T8" s="28" t="n">
        <v>388</v>
      </c>
      <c r="U8" s="28" t="n"/>
      <c r="V8" s="28" t="n"/>
      <c r="W8" s="28" t="n"/>
      <c r="X8" s="28" t="n"/>
      <c r="Y8" s="28" t="n"/>
      <c r="Z8" s="28" t="n"/>
      <c r="AA8" s="28" t="n"/>
      <c r="AB8" s="28" t="n"/>
      <c r="AC8" s="28" t="n"/>
      <c r="AD8" s="28" t="n"/>
      <c r="AE8" s="28" t="n"/>
      <c r="AF8" s="28" t="n"/>
      <c r="AG8" s="28" t="n"/>
      <c r="AH8" s="28" t="n"/>
      <c r="AI8" s="28" t="n"/>
      <c r="AJ8" s="28" t="n"/>
      <c r="AK8" s="28" t="n"/>
      <c r="AL8" s="28" t="n"/>
      <c r="AM8" s="28" t="n"/>
      <c r="AN8" s="28" t="n"/>
      <c r="AO8" s="28" t="n"/>
      <c r="AP8" s="28" t="n"/>
      <c r="AQ8" s="28" t="n"/>
      <c r="AR8" s="28" t="n"/>
      <c r="AS8" s="28" t="n"/>
      <c r="AT8" s="28" t="n"/>
      <c r="AU8" s="28" t="n"/>
      <c r="AV8" s="28" t="n"/>
      <c r="AW8" s="28" t="n"/>
      <c r="AX8" s="28" t="n"/>
      <c r="AY8" s="28" t="n"/>
      <c r="AZ8" s="28" t="n"/>
      <c r="BA8" s="28" t="n"/>
      <c r="BB8" s="28" t="n"/>
      <c r="BC8" s="28" t="n"/>
      <c r="BD8" s="28" t="n"/>
      <c r="BE8" s="28" t="n"/>
      <c r="BF8" s="28" t="n"/>
      <c r="BG8" s="28" t="n"/>
      <c r="BH8" s="28" t="n"/>
      <c r="BI8" s="28" t="n"/>
      <c r="BJ8" s="28" t="n"/>
      <c r="BK8" s="28" t="n"/>
      <c r="BL8" s="28" t="n"/>
      <c r="BM8" s="28" t="n"/>
      <c r="BN8" s="28" t="n"/>
      <c r="BO8" s="28" t="n"/>
      <c r="BP8" s="28" t="n"/>
      <c r="BQ8" s="28" t="n"/>
    </row>
    <row r="9" ht="17.5" customHeight="1" s="91">
      <c r="A9" s="35" t="inlineStr">
        <is>
          <t>1.2.07.621</t>
        </is>
      </c>
      <c r="B9" s="35" t="n"/>
      <c r="C9" s="35" t="n"/>
      <c r="D9" s="35" t="inlineStr">
        <is>
          <t>WO-ZZ00020698</t>
        </is>
      </c>
      <c r="E9" s="21" t="inlineStr">
        <is>
          <t>贴静舒爽系列成人护理垫XL码150x80cm（5片*12包）</t>
        </is>
      </c>
      <c r="F9" t="inlineStr">
        <is>
          <t>XL</t>
        </is>
      </c>
      <c r="G9" s="19" t="n">
        <v>5</v>
      </c>
      <c r="H9" s="19" t="n">
        <v>12</v>
      </c>
      <c r="I9" s="116" t="n">
        <v>46094</v>
      </c>
      <c r="J9" s="117" t="n">
        <v>46127</v>
      </c>
      <c r="K9" s="19" t="n">
        <v>480</v>
      </c>
      <c r="L9" s="19">
        <f>F8*G8*J8</f>
        <v/>
      </c>
      <c r="M9" s="26" t="n">
        <v>0</v>
      </c>
      <c r="N9" s="24" t="n"/>
      <c r="O9" s="24" t="n"/>
      <c r="P9" s="24" t="n"/>
      <c r="Q9" s="24" t="n"/>
      <c r="R9" s="24" t="n"/>
      <c r="S9" s="24" t="n"/>
      <c r="T9" s="24" t="n">
        <v>480</v>
      </c>
      <c r="U9" s="24" t="n"/>
      <c r="V9" s="24" t="n"/>
      <c r="W9" s="24" t="n"/>
      <c r="X9" s="24" t="n"/>
      <c r="Y9" s="24" t="n"/>
      <c r="Z9" s="24" t="n"/>
      <c r="AA9" s="24" t="n"/>
      <c r="AB9" s="24" t="n"/>
      <c r="AC9" s="24" t="n"/>
      <c r="AD9" s="24" t="n"/>
      <c r="AE9" s="24" t="n"/>
      <c r="AF9" s="24" t="n"/>
      <c r="AG9" s="24" t="n"/>
      <c r="AH9" s="24" t="n"/>
      <c r="AI9" s="24" t="n"/>
      <c r="AJ9" s="24" t="n"/>
      <c r="AK9" s="24" t="n"/>
      <c r="AL9" s="24" t="n"/>
      <c r="AM9" s="24" t="n"/>
      <c r="AN9" s="24" t="n"/>
      <c r="AO9" s="24" t="n"/>
      <c r="AP9" s="24" t="n"/>
      <c r="AQ9" s="24" t="n"/>
      <c r="AR9" s="24" t="n"/>
      <c r="AS9" s="24" t="n"/>
      <c r="AT9" s="24" t="n"/>
      <c r="AU9" s="24" t="n"/>
      <c r="AV9" s="24" t="n"/>
      <c r="AW9" s="24" t="n"/>
      <c r="AX9" s="24" t="n"/>
      <c r="AY9" s="24" t="n"/>
      <c r="AZ9" s="24" t="n"/>
      <c r="BA9" s="24" t="n"/>
      <c r="BB9" s="24" t="n"/>
      <c r="BC9" s="24" t="n"/>
      <c r="BD9" s="24" t="n"/>
      <c r="BE9" s="24" t="n"/>
      <c r="BF9" s="24" t="n"/>
      <c r="BG9" s="24" t="n"/>
      <c r="BH9" s="24" t="n"/>
      <c r="BI9" s="24" t="n"/>
      <c r="BJ9" s="24" t="n"/>
      <c r="BK9" s="24" t="n"/>
      <c r="BL9" s="24" t="n"/>
      <c r="BM9" s="24" t="n"/>
      <c r="BN9" s="24" t="n"/>
      <c r="BO9" s="24" t="n"/>
      <c r="BP9" s="24" t="n"/>
      <c r="BQ9" s="24" t="n"/>
    </row>
    <row r="10" ht="17.5" customHeight="1" s="91">
      <c r="A10" s="35" t="inlineStr">
        <is>
          <t>1.2.07.301</t>
        </is>
      </c>
      <c r="B10" s="35" t="n"/>
      <c r="C10" s="35" t="inlineStr">
        <is>
          <t>CR269031</t>
        </is>
      </c>
      <c r="D10" s="120" t="inlineStr">
        <is>
          <t>WO-ZZ00020506</t>
        </is>
      </c>
      <c r="E10" s="21" t="inlineStr">
        <is>
          <t>安亲成人护理垫180*70CM(10片*10包) (CU000197)</t>
        </is>
      </c>
      <c r="G10" s="19" t="n">
        <v>10</v>
      </c>
      <c r="H10" s="19" t="n">
        <v>10</v>
      </c>
      <c r="I10" s="116" t="n">
        <v>46120</v>
      </c>
      <c r="J10" s="117" t="n">
        <v>46151</v>
      </c>
      <c r="K10" s="19" t="n">
        <v>560</v>
      </c>
      <c r="L10" s="19">
        <f>F9*G9*J9</f>
        <v/>
      </c>
      <c r="M10" s="26" t="n">
        <v>0</v>
      </c>
      <c r="N10" s="28" t="n"/>
      <c r="O10" s="28" t="n"/>
      <c r="P10" s="28" t="n"/>
      <c r="Q10" s="28" t="n"/>
      <c r="R10" s="28" t="n"/>
      <c r="S10" s="28" t="n"/>
      <c r="T10" s="28" t="n">
        <v>53</v>
      </c>
      <c r="U10" s="28" t="n">
        <v>507</v>
      </c>
      <c r="V10" s="28" t="n"/>
      <c r="W10" s="28" t="n"/>
      <c r="X10" s="28" t="n"/>
      <c r="Y10" s="28" t="n"/>
      <c r="Z10" s="28" t="n"/>
      <c r="AA10" s="28" t="n"/>
      <c r="AB10" s="28" t="n"/>
      <c r="AC10" s="28" t="n"/>
      <c r="AD10" s="28" t="n"/>
      <c r="AE10" s="28" t="n"/>
      <c r="AF10" s="28" t="n"/>
      <c r="AG10" s="28" t="n"/>
      <c r="AH10" s="28" t="n"/>
      <c r="AI10" s="28" t="n"/>
      <c r="AJ10" s="28" t="n"/>
      <c r="AK10" s="28" t="n"/>
      <c r="AL10" s="28" t="n"/>
      <c r="AM10" s="28" t="n"/>
      <c r="AN10" s="28" t="n"/>
      <c r="AO10" s="28" t="n"/>
      <c r="AP10" s="28" t="n"/>
      <c r="AQ10" s="28" t="n"/>
      <c r="AR10" s="28" t="n"/>
      <c r="AS10" s="28" t="n"/>
      <c r="AT10" s="28" t="n"/>
      <c r="AU10" s="28" t="n"/>
      <c r="AV10" s="28" t="n"/>
      <c r="AW10" s="28" t="n"/>
      <c r="AX10" s="28" t="n"/>
      <c r="AY10" s="28" t="n"/>
      <c r="AZ10" s="28" t="n"/>
      <c r="BA10" s="28" t="n"/>
      <c r="BB10" s="28" t="n"/>
      <c r="BC10" s="28" t="n"/>
      <c r="BD10" s="28" t="n"/>
      <c r="BE10" s="28" t="n"/>
      <c r="BF10" s="28" t="n"/>
      <c r="BG10" s="28" t="n"/>
      <c r="BH10" s="28" t="n"/>
      <c r="BI10" s="28" t="n"/>
      <c r="BJ10" s="28" t="n"/>
      <c r="BK10" s="28" t="n"/>
      <c r="BL10" s="28" t="n"/>
      <c r="BM10" s="28" t="n"/>
      <c r="BN10" s="28" t="n"/>
      <c r="BO10" s="28" t="n"/>
      <c r="BP10" s="28" t="n"/>
      <c r="BQ10" s="28" t="n"/>
    </row>
    <row r="11" ht="17.5" customHeight="1" s="91">
      <c r="A11" s="19" t="inlineStr">
        <is>
          <t>1.2.03.683</t>
        </is>
      </c>
      <c r="B11" s="19" t="n"/>
      <c r="C11" s="19" t="n"/>
      <c r="D11" s="35" t="inlineStr">
        <is>
          <t>WO-ZZ00020699</t>
        </is>
      </c>
      <c r="E11" s="21" t="inlineStr">
        <is>
          <t>康宝 床垫XL码90*60cm (8+1)片*16包</t>
        </is>
      </c>
      <c r="F11" t="inlineStr">
        <is>
          <t>XL</t>
        </is>
      </c>
      <c r="G11" s="19" t="n">
        <v>9</v>
      </c>
      <c r="H11" s="19" t="n">
        <v>16</v>
      </c>
      <c r="I11" s="116" t="n"/>
      <c r="J11" s="117" t="n"/>
      <c r="K11" s="19" t="n">
        <v>4000</v>
      </c>
      <c r="L11" s="19">
        <f>F10*G10*J10</f>
        <v/>
      </c>
      <c r="M11" s="26" t="n">
        <v>0</v>
      </c>
      <c r="N11" s="28" t="n"/>
      <c r="O11" s="28" t="n"/>
      <c r="P11" s="28" t="n"/>
      <c r="Q11" s="28" t="n"/>
      <c r="R11" s="28" t="n"/>
      <c r="S11" s="28" t="n"/>
      <c r="T11" s="28" t="n"/>
      <c r="U11" s="28" t="n">
        <v>273</v>
      </c>
      <c r="V11" s="28" t="n">
        <v>625</v>
      </c>
      <c r="W11" s="28" t="n">
        <v>625</v>
      </c>
      <c r="X11" s="28" t="n">
        <v>625</v>
      </c>
      <c r="Y11" s="28" t="n"/>
      <c r="Z11" s="28" t="n">
        <v>625</v>
      </c>
      <c r="AA11" s="28" t="n">
        <v>625</v>
      </c>
      <c r="AB11" s="28" t="n">
        <v>602</v>
      </c>
      <c r="AC11" s="28" t="n"/>
      <c r="AD11" s="28" t="n"/>
      <c r="AE11" s="28" t="n"/>
      <c r="AF11" s="28" t="n"/>
      <c r="AG11" s="28" t="n"/>
      <c r="AH11" s="28" t="n"/>
      <c r="AI11" s="28" t="n"/>
      <c r="AJ11" s="28" t="n"/>
      <c r="AK11" s="28" t="n"/>
      <c r="AL11" s="28" t="n"/>
      <c r="AM11" s="28" t="n"/>
      <c r="AN11" s="28" t="n"/>
      <c r="AO11" s="28" t="n"/>
      <c r="AP11" s="28" t="n"/>
      <c r="AQ11" s="28" t="n"/>
      <c r="AR11" s="28" t="n"/>
      <c r="AS11" s="28" t="n"/>
      <c r="AT11" s="28" t="n"/>
      <c r="AU11" s="28" t="n"/>
      <c r="AV11" s="28" t="n"/>
      <c r="AW11" s="28" t="n"/>
      <c r="AX11" s="28" t="n"/>
      <c r="AY11" s="28" t="n"/>
      <c r="AZ11" s="28" t="n"/>
      <c r="BA11" s="28" t="n"/>
      <c r="BB11" s="28" t="n"/>
      <c r="BC11" s="28" t="n"/>
      <c r="BD11" s="28" t="n"/>
      <c r="BE11" s="28" t="n"/>
      <c r="BF11" s="28" t="n"/>
      <c r="BG11" s="28" t="n"/>
      <c r="BH11" s="28" t="n"/>
      <c r="BI11" s="28" t="n"/>
      <c r="BJ11" s="28" t="n"/>
      <c r="BK11" s="28" t="n"/>
      <c r="BL11" s="28" t="n"/>
      <c r="BM11" s="28" t="n"/>
      <c r="BN11" s="28" t="n"/>
      <c r="BO11" s="28" t="n"/>
      <c r="BP11" s="28" t="n"/>
      <c r="BQ11" s="28" t="n"/>
    </row>
    <row r="12" ht="17.5" customHeight="1" s="91">
      <c r="A12" s="35" t="inlineStr">
        <is>
          <t>1.2.09.001</t>
        </is>
      </c>
      <c r="B12" s="35" t="n"/>
      <c r="C12" s="35" t="inlineStr">
        <is>
          <t>NM-20260427001</t>
        </is>
      </c>
      <c r="D12" s="35" t="inlineStr">
        <is>
          <t>WO-ZZ00020700</t>
        </is>
      </c>
      <c r="E12" s="21" t="inlineStr">
        <is>
          <t>SUNKISS成人护理垫90*85CM(10片*5包)</t>
        </is>
      </c>
      <c r="G12" s="19" t="n">
        <v>10</v>
      </c>
      <c r="H12" s="19" t="n">
        <v>5</v>
      </c>
      <c r="I12" s="116" t="n">
        <v>46139</v>
      </c>
      <c r="J12" s="117" t="n">
        <v>46152</v>
      </c>
      <c r="K12" s="19" t="n">
        <v>500</v>
      </c>
      <c r="L12" s="19">
        <f>F11*G11*J11</f>
        <v/>
      </c>
      <c r="M12" s="26" t="n">
        <v>0</v>
      </c>
      <c r="N12" s="28" t="n"/>
      <c r="O12" s="28" t="n"/>
      <c r="P12" s="28" t="n"/>
      <c r="Q12" s="28" t="n"/>
      <c r="R12" s="28" t="n"/>
      <c r="S12" s="28" t="n"/>
      <c r="T12" s="28" t="n"/>
      <c r="U12" s="28" t="n"/>
      <c r="V12" s="28" t="n"/>
      <c r="W12" s="28" t="n"/>
      <c r="X12" s="28" t="n"/>
      <c r="Y12" s="28" t="n"/>
      <c r="Z12" s="28" t="n"/>
      <c r="AA12" s="28" t="n"/>
      <c r="AB12" s="28" t="n">
        <v>66</v>
      </c>
      <c r="AC12" s="28" t="n">
        <v>434</v>
      </c>
      <c r="AD12" s="28" t="n"/>
      <c r="AE12" s="28" t="n"/>
      <c r="AF12" s="28" t="n"/>
      <c r="AG12" s="28" t="n"/>
      <c r="AH12" s="28" t="n"/>
      <c r="AI12" s="28" t="n"/>
      <c r="AJ12" s="28" t="n"/>
      <c r="AK12" s="28" t="n"/>
      <c r="AL12" s="28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8" t="n"/>
      <c r="BA12" s="28" t="n"/>
      <c r="BB12" s="28" t="n"/>
      <c r="BC12" s="28" t="n"/>
      <c r="BD12" s="28" t="n"/>
      <c r="BE12" s="28" t="n"/>
      <c r="BF12" s="28" t="n"/>
      <c r="BG12" s="28" t="n"/>
      <c r="BH12" s="28" t="n"/>
      <c r="BI12" s="28" t="n"/>
      <c r="BJ12" s="28" t="n"/>
      <c r="BK12" s="28" t="n"/>
      <c r="BL12" s="28" t="n"/>
      <c r="BM12" s="28" t="n"/>
      <c r="BN12" s="28" t="n"/>
      <c r="BO12" s="28" t="n"/>
      <c r="BP12" s="28" t="n"/>
      <c r="BQ12" s="28" t="n"/>
    </row>
    <row r="13" ht="18" customHeight="1" s="91">
      <c r="A13" s="35" t="inlineStr">
        <is>
          <t>1.2.03.668</t>
        </is>
      </c>
      <c r="B13" s="35" t="n"/>
      <c r="C13" s="35" t="n"/>
      <c r="D13" s="35" t="n"/>
      <c r="E13" s="21" t="inlineStr">
        <is>
          <t>PETPERS Pet Pad L 60×60cm (30片*6包)</t>
        </is>
      </c>
      <c r="F13" t="inlineStr">
        <is>
          <t>L</t>
        </is>
      </c>
      <c r="G13" s="19" t="n">
        <v>30</v>
      </c>
      <c r="H13" s="19" t="n">
        <v>6</v>
      </c>
      <c r="I13" s="116" t="n"/>
      <c r="J13" s="117" t="n"/>
      <c r="K13" s="19" t="n">
        <v>200</v>
      </c>
      <c r="L13" s="19">
        <f>F12*G12*J12</f>
        <v/>
      </c>
      <c r="M13" s="26" t="n">
        <v>0</v>
      </c>
      <c r="N13" s="28" t="n"/>
      <c r="O13" s="28" t="n"/>
      <c r="P13" s="28" t="n"/>
      <c r="Q13" s="28" t="n"/>
      <c r="R13" s="28" t="n"/>
      <c r="S13" s="28" t="n"/>
      <c r="T13" s="28" t="n"/>
      <c r="U13" s="28" t="n"/>
      <c r="V13" s="28" t="n"/>
      <c r="W13" s="28" t="n"/>
      <c r="X13" s="28" t="n"/>
      <c r="Y13" s="28" t="n"/>
      <c r="Z13" s="28" t="n"/>
      <c r="AA13" s="28" t="n"/>
      <c r="AB13" s="28" t="n"/>
      <c r="AC13" s="28" t="n">
        <v>200</v>
      </c>
      <c r="AD13" s="28" t="n"/>
      <c r="AE13" s="28" t="n"/>
      <c r="AF13" s="28" t="n"/>
      <c r="AG13" s="28" t="n"/>
      <c r="AH13" s="28" t="n"/>
      <c r="AI13" s="28" t="n"/>
      <c r="AJ13" s="28" t="n"/>
      <c r="AK13" s="28" t="n"/>
      <c r="AL13" s="28" t="n"/>
      <c r="AM13" s="28" t="n"/>
      <c r="AN13" s="28" t="n"/>
      <c r="AO13" s="28" t="n"/>
      <c r="AP13" s="28" t="n"/>
      <c r="AQ13" s="28" t="n"/>
      <c r="AR13" s="28" t="n"/>
      <c r="AS13" s="28" t="n"/>
      <c r="AT13" s="28" t="n"/>
      <c r="AU13" s="28" t="n"/>
      <c r="AV13" s="28" t="n"/>
      <c r="AW13" s="28" t="n"/>
      <c r="AX13" s="28" t="n"/>
      <c r="AY13" s="28" t="n"/>
      <c r="AZ13" s="28" t="n"/>
      <c r="BA13" s="28" t="n"/>
      <c r="BB13" s="28" t="n"/>
      <c r="BC13" s="28" t="n"/>
      <c r="BD13" s="28" t="n"/>
      <c r="BE13" s="28" t="n"/>
      <c r="BF13" s="28" t="n"/>
      <c r="BG13" s="28" t="n"/>
      <c r="BH13" s="28" t="n"/>
      <c r="BI13" s="28" t="n"/>
      <c r="BJ13" s="28" t="n"/>
      <c r="BK13" s="28" t="n"/>
      <c r="BL13" s="28" t="n"/>
      <c r="BM13" s="28" t="n"/>
      <c r="BN13" s="28" t="n"/>
      <c r="BO13" s="28" t="n"/>
      <c r="BP13" s="28" t="n"/>
      <c r="BQ13" s="28" t="n"/>
    </row>
    <row r="14">
      <c r="N14" s="28" t="n"/>
      <c r="O14" s="28" t="n"/>
      <c r="P14" s="28" t="n"/>
      <c r="Q14" s="28" t="n"/>
      <c r="R14" s="28" t="n"/>
      <c r="S14" s="28" t="n"/>
      <c r="T14" s="28" t="n"/>
      <c r="U14" s="28" t="n"/>
      <c r="V14" s="28" t="n"/>
      <c r="W14" s="28" t="n"/>
      <c r="X14" s="28" t="n"/>
      <c r="Y14" s="28" t="n"/>
      <c r="Z14" s="28" t="n"/>
      <c r="AA14" s="28" t="n"/>
      <c r="AB14" s="28" t="n"/>
      <c r="AC14" s="28" t="n"/>
      <c r="AD14" s="28" t="n"/>
      <c r="AE14" s="28" t="n"/>
      <c r="AF14" s="28" t="n"/>
      <c r="AG14" s="28" t="n"/>
      <c r="AH14" s="28" t="n"/>
      <c r="AI14" s="28" t="n"/>
      <c r="AJ14" s="28" t="n"/>
      <c r="AK14" s="28" t="n"/>
      <c r="AL14" s="28" t="n"/>
      <c r="AM14" s="28" t="n"/>
      <c r="AN14" s="28" t="n"/>
      <c r="AO14" s="28" t="n"/>
      <c r="AP14" s="28" t="n"/>
      <c r="AQ14" s="28" t="n"/>
      <c r="AR14" s="28" t="n"/>
      <c r="AS14" s="28" t="n"/>
      <c r="AT14" s="28" t="n"/>
      <c r="AU14" s="28" t="n"/>
      <c r="AV14" s="28" t="n"/>
      <c r="AW14" s="28" t="n"/>
      <c r="AX14" s="28" t="n"/>
      <c r="AY14" s="28" t="n"/>
      <c r="AZ14" s="28" t="n"/>
      <c r="BA14" s="28" t="n"/>
      <c r="BB14" s="28" t="n"/>
      <c r="BC14" s="28" t="n"/>
      <c r="BD14" s="28" t="n"/>
      <c r="BE14" s="28" t="n"/>
      <c r="BF14" s="28" t="n"/>
      <c r="BG14" s="28" t="n"/>
      <c r="BH14" s="28" t="n"/>
      <c r="BI14" s="28" t="n"/>
      <c r="BJ14" s="28" t="n"/>
      <c r="BK14" s="28" t="n"/>
      <c r="BL14" s="28" t="n"/>
      <c r="BM14" s="28" t="n"/>
      <c r="BN14" s="28" t="n"/>
      <c r="BO14" s="28" t="n"/>
      <c r="BP14" s="28" t="n"/>
      <c r="BQ14" s="28" t="n"/>
    </row>
    <row r="15">
      <c r="N15" s="28" t="n"/>
      <c r="O15" s="28" t="n"/>
      <c r="P15" s="28" t="n"/>
      <c r="Q15" s="28" t="n"/>
      <c r="R15" s="28" t="n"/>
      <c r="S15" s="28" t="n"/>
      <c r="T15" s="28" t="n"/>
      <c r="U15" s="28" t="n"/>
      <c r="V15" s="28" t="n"/>
      <c r="W15" s="28" t="n"/>
      <c r="X15" s="28" t="n"/>
      <c r="Y15" s="28" t="n"/>
      <c r="Z15" s="28" t="n"/>
      <c r="AA15" s="28" t="n"/>
      <c r="AB15" s="28" t="n"/>
      <c r="AC15" s="28" t="n"/>
      <c r="AD15" s="28" t="n"/>
      <c r="AE15" s="28" t="n"/>
      <c r="AF15" s="28" t="n"/>
      <c r="AG15" s="28" t="n"/>
      <c r="AH15" s="28" t="n"/>
      <c r="AI15" s="28" t="n"/>
      <c r="AJ15" s="28" t="n"/>
      <c r="AK15" s="28" t="n"/>
      <c r="AL15" s="28" t="n"/>
      <c r="AM15" s="28" t="n"/>
      <c r="AN15" s="28" t="n"/>
      <c r="AO15" s="28" t="n"/>
      <c r="AP15" s="28" t="n"/>
      <c r="AQ15" s="28" t="n"/>
      <c r="AR15" s="28" t="n"/>
      <c r="AS15" s="28" t="n"/>
      <c r="AT15" s="28" t="n"/>
      <c r="AU15" s="28" t="n"/>
      <c r="AV15" s="28" t="n"/>
      <c r="AW15" s="28" t="n"/>
      <c r="AX15" s="28" t="n"/>
      <c r="AY15" s="28" t="n"/>
      <c r="AZ15" s="28" t="n"/>
      <c r="BA15" s="28" t="n"/>
      <c r="BB15" s="28" t="n"/>
      <c r="BC15" s="28" t="n"/>
      <c r="BD15" s="28" t="n"/>
      <c r="BE15" s="28" t="n"/>
      <c r="BF15" s="28" t="n"/>
      <c r="BG15" s="28" t="n"/>
      <c r="BH15" s="28" t="n"/>
      <c r="BI15" s="28" t="n"/>
      <c r="BJ15" s="28" t="n"/>
      <c r="BK15" s="28" t="n"/>
      <c r="BL15" s="28" t="n"/>
      <c r="BM15" s="28" t="n"/>
      <c r="BN15" s="28" t="n"/>
      <c r="BO15" s="28" t="n"/>
      <c r="BP15" s="28" t="n"/>
      <c r="BQ15" s="28" t="n"/>
    </row>
    <row r="16">
      <c r="N16" s="28" t="n"/>
      <c r="O16" s="28" t="n"/>
      <c r="P16" s="28" t="n"/>
      <c r="Q16" s="28" t="n"/>
      <c r="R16" s="28" t="n"/>
      <c r="S16" s="28" t="n"/>
      <c r="T16" s="28" t="n"/>
      <c r="U16" s="28" t="n"/>
      <c r="V16" s="28" t="n"/>
      <c r="W16" s="28" t="n"/>
      <c r="X16" s="28" t="n"/>
      <c r="Y16" s="28" t="n"/>
      <c r="Z16" s="28" t="n"/>
      <c r="AA16" s="28" t="n"/>
      <c r="AB16" s="28" t="n"/>
      <c r="AC16" s="28" t="n"/>
      <c r="AD16" s="28" t="n"/>
      <c r="AE16" s="28" t="n"/>
      <c r="AF16" s="28" t="n"/>
      <c r="AG16" s="28" t="n"/>
      <c r="AH16" s="28" t="n"/>
      <c r="AI16" s="28" t="n"/>
      <c r="AJ16" s="28" t="n"/>
      <c r="AK16" s="28" t="n"/>
      <c r="AL16" s="28" t="n"/>
      <c r="AM16" s="28" t="n"/>
      <c r="AN16" s="28" t="n"/>
      <c r="AO16" s="28" t="n"/>
      <c r="AP16" s="28" t="n"/>
      <c r="AQ16" s="28" t="n"/>
      <c r="AR16" s="28" t="n"/>
      <c r="AS16" s="28" t="n"/>
      <c r="AT16" s="28" t="n"/>
      <c r="AU16" s="28" t="n"/>
      <c r="AV16" s="28" t="n"/>
      <c r="AW16" s="28" t="n"/>
      <c r="AX16" s="28" t="n"/>
      <c r="AY16" s="28" t="n"/>
      <c r="AZ16" s="28" t="n"/>
      <c r="BA16" s="28" t="n"/>
      <c r="BB16" s="28" t="n"/>
      <c r="BC16" s="28" t="n"/>
      <c r="BD16" s="28" t="n"/>
      <c r="BE16" s="28" t="n"/>
      <c r="BF16" s="28" t="n"/>
      <c r="BG16" s="28" t="n"/>
      <c r="BH16" s="28" t="n"/>
      <c r="BI16" s="28" t="n"/>
      <c r="BJ16" s="28" t="n"/>
      <c r="BK16" s="28" t="n"/>
      <c r="BL16" s="28" t="n"/>
      <c r="BM16" s="28" t="n"/>
      <c r="BN16" s="28" t="n"/>
      <c r="BO16" s="28" t="n"/>
      <c r="BP16" s="28" t="n"/>
      <c r="BQ16" s="28" t="n"/>
    </row>
    <row r="17">
      <c r="N17" s="28" t="n"/>
      <c r="O17" s="28" t="n"/>
      <c r="P17" s="28" t="n"/>
      <c r="Q17" s="28" t="n"/>
      <c r="R17" s="28" t="n"/>
      <c r="S17" s="28" t="n"/>
      <c r="T17" s="28" t="n"/>
      <c r="U17" s="28" t="n"/>
      <c r="V17" s="28" t="n"/>
      <c r="W17" s="28" t="n"/>
      <c r="X17" s="28" t="n"/>
      <c r="Y17" s="28" t="n"/>
      <c r="Z17" s="28" t="n"/>
      <c r="AA17" s="28" t="n"/>
      <c r="AB17" s="28" t="n"/>
      <c r="AC17" s="28" t="n"/>
      <c r="AD17" s="28" t="n"/>
      <c r="AE17" s="28" t="n"/>
      <c r="AF17" s="28" t="n"/>
      <c r="AG17" s="28" t="n"/>
      <c r="AH17" s="28" t="n"/>
      <c r="AI17" s="28" t="n"/>
      <c r="AJ17" s="28" t="n"/>
      <c r="AK17" s="28" t="n"/>
      <c r="AL17" s="28" t="n"/>
      <c r="AM17" s="28" t="n"/>
      <c r="AN17" s="28" t="n"/>
      <c r="AO17" s="28" t="n"/>
      <c r="AP17" s="28" t="n"/>
      <c r="AQ17" s="28" t="n"/>
      <c r="AR17" s="28" t="n"/>
      <c r="AS17" s="28" t="n"/>
      <c r="AT17" s="28" t="n"/>
      <c r="AU17" s="28" t="n"/>
      <c r="AV17" s="28" t="n"/>
      <c r="AW17" s="28" t="n"/>
      <c r="AX17" s="28" t="n"/>
      <c r="AY17" s="28" t="n"/>
      <c r="AZ17" s="28" t="n"/>
      <c r="BA17" s="28" t="n"/>
      <c r="BB17" s="28" t="n"/>
      <c r="BC17" s="28" t="n"/>
      <c r="BD17" s="28" t="n"/>
      <c r="BE17" s="28" t="n"/>
      <c r="BF17" s="28" t="n"/>
      <c r="BG17" s="28" t="n"/>
      <c r="BH17" s="28" t="n"/>
      <c r="BI17" s="28" t="n"/>
      <c r="BJ17" s="28" t="n"/>
      <c r="BK17" s="28" t="n"/>
      <c r="BL17" s="28" t="n"/>
      <c r="BM17" s="28" t="n"/>
      <c r="BN17" s="28" t="n"/>
      <c r="BO17" s="28" t="n"/>
      <c r="BP17" s="28" t="n"/>
      <c r="BQ17" s="28" t="n"/>
    </row>
    <row r="18" ht="16" customHeight="1" s="91">
      <c r="A18" s="0" t="n"/>
      <c r="B18" s="0" t="n"/>
      <c r="C18" s="0" t="n"/>
      <c r="D18" s="0" t="n"/>
      <c r="E18" s="0" t="n"/>
      <c r="G18" s="0" t="n"/>
      <c r="H18" s="0" t="n"/>
      <c r="I18" s="0" t="n"/>
      <c r="J18" s="0" t="n"/>
      <c r="K18" s="0" t="n"/>
      <c r="L18" s="0" t="n"/>
      <c r="M18" s="0" t="n"/>
      <c r="N18" s="28" t="n"/>
      <c r="O18" s="28" t="n"/>
      <c r="P18" s="28" t="n"/>
      <c r="Q18" s="28" t="n"/>
      <c r="R18" s="28" t="n"/>
      <c r="S18" s="28" t="n"/>
      <c r="T18" s="28" t="n"/>
      <c r="U18" s="28" t="n"/>
      <c r="V18" s="28" t="n"/>
      <c r="W18" s="28" t="n"/>
      <c r="X18" s="28" t="n"/>
      <c r="Y18" s="28" t="n"/>
      <c r="Z18" s="28" t="n"/>
      <c r="AA18" s="28" t="n"/>
      <c r="AB18" s="28" t="n"/>
      <c r="AC18" s="28" t="n"/>
      <c r="AD18" s="28" t="n"/>
      <c r="AE18" s="28" t="n"/>
      <c r="AF18" s="28" t="n"/>
      <c r="AG18" s="28" t="n"/>
      <c r="AH18" s="28" t="n"/>
      <c r="AI18" s="28" t="n"/>
      <c r="AJ18" s="28" t="n"/>
      <c r="AK18" s="28" t="n"/>
      <c r="AL18" s="28" t="n"/>
      <c r="AM18" s="28" t="n"/>
      <c r="AN18" s="28" t="n"/>
      <c r="AO18" s="28" t="n"/>
      <c r="AP18" s="28" t="n"/>
      <c r="AQ18" s="28" t="n"/>
      <c r="AR18" s="28" t="n"/>
      <c r="AS18" s="28" t="n"/>
      <c r="AT18" s="28" t="n"/>
      <c r="AU18" s="28" t="n"/>
      <c r="AV18" s="28" t="n"/>
      <c r="AW18" s="28" t="n"/>
      <c r="AX18" s="28" t="n"/>
      <c r="AY18" s="28" t="n"/>
      <c r="AZ18" s="28" t="n"/>
      <c r="BA18" s="28" t="n"/>
      <c r="BB18" s="28" t="n"/>
      <c r="BC18" s="28" t="n"/>
      <c r="BD18" s="28" t="n"/>
      <c r="BE18" s="28" t="n"/>
      <c r="BF18" s="28" t="n"/>
      <c r="BG18" s="28" t="n"/>
      <c r="BH18" s="28" t="n"/>
      <c r="BI18" s="28" t="n"/>
      <c r="BJ18" s="28" t="n"/>
      <c r="BK18" s="28" t="n"/>
      <c r="BL18" s="28" t="n"/>
      <c r="BM18" s="28" t="n"/>
      <c r="BN18" s="28" t="n"/>
      <c r="BO18" s="28" t="n"/>
      <c r="BP18" s="28" t="n"/>
      <c r="BQ18" s="28" t="n"/>
    </row>
    <row r="19" ht="17" customHeight="1" s="91">
      <c r="A19" s="35" t="inlineStr">
        <is>
          <t>1.2.03.682</t>
        </is>
      </c>
      <c r="B19" s="35" t="n">
        <v>31048</v>
      </c>
      <c r="C19" s="35" t="inlineStr">
        <is>
          <t>PI2602FMC011</t>
        </is>
      </c>
      <c r="D19" s="120" t="inlineStr">
        <is>
          <t>WO-ZZ00020179</t>
        </is>
      </c>
      <c r="E19" s="21" t="inlineStr">
        <is>
          <t>Cara Protector成人护理垫90*60CM（50片*4包）CU001649</t>
        </is>
      </c>
      <c r="G19" s="19" t="n">
        <v>50</v>
      </c>
      <c r="H19" s="19" t="n">
        <v>4</v>
      </c>
      <c r="I19" s="116" t="n">
        <v>46078</v>
      </c>
      <c r="J19" s="117" t="n">
        <v>46101</v>
      </c>
      <c r="K19" s="19" t="n">
        <v>1222</v>
      </c>
      <c r="L19" s="19">
        <f>F18*G18*J18</f>
        <v/>
      </c>
      <c r="M19" s="26" t="n"/>
      <c r="N19" s="28" t="n"/>
      <c r="O19" s="28" t="n"/>
      <c r="P19" s="28" t="n"/>
      <c r="Q19" s="28" t="n"/>
      <c r="R19" s="28" t="n"/>
      <c r="S19" s="28" t="n"/>
      <c r="T19" s="28" t="n"/>
      <c r="U19" s="28" t="n"/>
      <c r="V19" s="28" t="n"/>
      <c r="W19" s="28" t="n"/>
      <c r="X19" s="28" t="n"/>
      <c r="Y19" s="28" t="n"/>
      <c r="Z19" s="28" t="n"/>
      <c r="AA19" s="28" t="n"/>
      <c r="AB19" s="28" t="n"/>
      <c r="AC19" s="28" t="n"/>
      <c r="AD19" s="28" t="n"/>
      <c r="AE19" s="28" t="n"/>
      <c r="AF19" s="28" t="n"/>
      <c r="AG19" s="28" t="n"/>
      <c r="AH19" s="28" t="n"/>
      <c r="AI19" s="28" t="n"/>
      <c r="AJ19" s="28" t="n"/>
      <c r="AK19" s="28" t="n"/>
      <c r="AL19" s="28" t="n"/>
      <c r="AM19" s="28" t="n"/>
      <c r="AN19" s="28" t="n"/>
      <c r="AO19" s="28" t="n"/>
      <c r="AP19" s="28" t="n"/>
      <c r="AQ19" s="28" t="n"/>
      <c r="AR19" s="28" t="n"/>
      <c r="AS19" s="28" t="n"/>
      <c r="AT19" s="28" t="n"/>
      <c r="AU19" s="28" t="n"/>
      <c r="AV19" s="28" t="n"/>
      <c r="AW19" s="28" t="n"/>
      <c r="AX19" s="28" t="n"/>
      <c r="AY19" s="28" t="n"/>
      <c r="AZ19" s="28" t="n"/>
      <c r="BA19" s="28" t="n"/>
      <c r="BB19" s="28" t="n"/>
      <c r="BC19" s="28" t="n"/>
      <c r="BD19" s="28" t="n"/>
      <c r="BE19" s="28" t="n"/>
      <c r="BF19" s="28" t="n"/>
      <c r="BG19" s="28" t="n"/>
      <c r="BH19" s="28" t="n"/>
      <c r="BI19" s="28" t="n"/>
      <c r="BJ19" s="28" t="n"/>
      <c r="BK19" s="28" t="n"/>
      <c r="BL19" s="28" t="n"/>
      <c r="BM19" s="28" t="n"/>
      <c r="BN19" s="28" t="n"/>
      <c r="BO19" s="28" t="n"/>
      <c r="BP19" s="28" t="n"/>
      <c r="BQ19" s="28" t="n"/>
    </row>
    <row r="20" ht="17" customHeight="1" s="91">
      <c r="A20" s="35" t="inlineStr">
        <is>
          <t>1.2.03.682</t>
        </is>
      </c>
      <c r="B20" s="35" t="n">
        <v>32808</v>
      </c>
      <c r="C20" s="35" t="inlineStr">
        <is>
          <t>PI2602FMC014</t>
        </is>
      </c>
      <c r="D20" s="127" t="inlineStr">
        <is>
          <t>WO-ZZ00020189</t>
        </is>
      </c>
      <c r="E20" s="40" t="inlineStr">
        <is>
          <t>Cara Protector成人护理垫90*60CM（50片*4包）CU001649</t>
        </is>
      </c>
      <c r="G20" s="25" t="n">
        <v>50</v>
      </c>
      <c r="H20" s="25" t="n">
        <v>4</v>
      </c>
      <c r="I20" s="123" t="n">
        <v>46078</v>
      </c>
      <c r="J20" s="126" t="n">
        <v>46111</v>
      </c>
      <c r="K20" s="25" t="n">
        <v>1100</v>
      </c>
      <c r="L20" s="25">
        <f>F19*G19*J19</f>
        <v/>
      </c>
      <c r="M20" s="43" t="n"/>
      <c r="N20" s="28" t="n"/>
      <c r="O20" s="28" t="n"/>
      <c r="P20" s="28" t="n"/>
      <c r="Q20" s="28" t="n"/>
      <c r="R20" s="28" t="n"/>
      <c r="S20" s="28" t="n"/>
      <c r="T20" s="28" t="n"/>
      <c r="U20" s="28" t="n"/>
      <c r="V20" s="28" t="n"/>
      <c r="W20" s="28" t="n"/>
      <c r="X20" s="28" t="n"/>
      <c r="Y20" s="28" t="n"/>
      <c r="Z20" s="28" t="n"/>
      <c r="AA20" s="28" t="n"/>
      <c r="AB20" s="28" t="n"/>
      <c r="AC20" s="28" t="n"/>
      <c r="AD20" s="28" t="n"/>
      <c r="AE20" s="28" t="n"/>
      <c r="AF20" s="28" t="n"/>
      <c r="AG20" s="28" t="n"/>
      <c r="AH20" s="28" t="n"/>
      <c r="AI20" s="28" t="n"/>
      <c r="AJ20" s="28" t="n"/>
      <c r="AK20" s="28" t="n"/>
      <c r="AL20" s="28" t="n"/>
      <c r="AM20" s="28" t="n"/>
      <c r="AN20" s="28" t="n"/>
      <c r="AO20" s="28" t="n"/>
      <c r="AP20" s="28" t="n"/>
      <c r="AQ20" s="28" t="n"/>
      <c r="AR20" s="28" t="n"/>
      <c r="AS20" s="28" t="n"/>
      <c r="AT20" s="28" t="n"/>
      <c r="AU20" s="28" t="n"/>
      <c r="AV20" s="28" t="n"/>
      <c r="AW20" s="28" t="n"/>
      <c r="AX20" s="28" t="n"/>
      <c r="AY20" s="28" t="n"/>
      <c r="AZ20" s="28" t="n"/>
      <c r="BA20" s="28" t="n"/>
      <c r="BB20" s="28" t="n"/>
      <c r="BC20" s="28" t="n"/>
      <c r="BD20" s="28" t="n"/>
      <c r="BE20" s="28" t="n"/>
      <c r="BF20" s="28" t="n"/>
      <c r="BG20" s="28" t="n"/>
      <c r="BH20" s="28" t="n"/>
      <c r="BI20" s="28" t="n"/>
      <c r="BJ20" s="28" t="n"/>
      <c r="BK20" s="28" t="n"/>
      <c r="BL20" s="28" t="n"/>
      <c r="BM20" s="28" t="n"/>
      <c r="BN20" s="28" t="n"/>
      <c r="BO20" s="28" t="n"/>
      <c r="BP20" s="28" t="n"/>
      <c r="BQ20" s="28" t="n"/>
    </row>
    <row r="21" ht="16" customHeight="1" s="91">
      <c r="A21" s="35" t="inlineStr">
        <is>
          <t>1.2.02.627</t>
        </is>
      </c>
      <c r="B21" s="35" t="n">
        <v>32805</v>
      </c>
      <c r="C21" s="35" t="inlineStr">
        <is>
          <t>PI2602FMC008</t>
        </is>
      </c>
      <c r="D21" s="127" t="inlineStr">
        <is>
          <t>WO-ZZ00020184</t>
        </is>
      </c>
      <c r="E21" s="40" t="inlineStr">
        <is>
          <t>Cara Protector成人护理垫60*60CM（50片*6包）CU001649</t>
        </is>
      </c>
      <c r="G21" s="25" t="n">
        <v>50</v>
      </c>
      <c r="H21" s="25" t="n">
        <v>6</v>
      </c>
      <c r="I21" s="123" t="n">
        <v>46078</v>
      </c>
      <c r="J21" s="126" t="n">
        <v>46106</v>
      </c>
      <c r="K21" s="25" t="n">
        <v>1233</v>
      </c>
      <c r="L21" s="25">
        <f>F20*G20*J20</f>
        <v/>
      </c>
      <c r="M21" s="43" t="n"/>
      <c r="N21" s="28" t="n"/>
      <c r="O21" s="28" t="n"/>
      <c r="P21" s="28" t="n"/>
      <c r="Q21" s="28" t="n"/>
      <c r="R21" s="28" t="n"/>
      <c r="S21" s="28" t="n"/>
      <c r="T21" s="28" t="n"/>
      <c r="U21" s="28" t="n"/>
      <c r="V21" s="28" t="n"/>
      <c r="W21" s="28" t="n"/>
      <c r="X21" s="28" t="n"/>
      <c r="Y21" s="28" t="n"/>
      <c r="Z21" s="28" t="n"/>
      <c r="AA21" s="28" t="n"/>
      <c r="AB21" s="28" t="n"/>
      <c r="AC21" s="28" t="n"/>
      <c r="AD21" s="28" t="n"/>
      <c r="AE21" s="28" t="n"/>
      <c r="AF21" s="28" t="n"/>
      <c r="AG21" s="28" t="n"/>
      <c r="AH21" s="28" t="n"/>
      <c r="AI21" s="28" t="n"/>
      <c r="AJ21" s="28" t="n"/>
      <c r="AK21" s="28" t="n"/>
      <c r="AL21" s="28" t="n"/>
      <c r="AM21" s="28" t="n"/>
      <c r="AN21" s="28" t="n"/>
      <c r="AO21" s="28" t="n"/>
      <c r="AP21" s="28" t="n"/>
      <c r="AQ21" s="28" t="n"/>
      <c r="AR21" s="28" t="n"/>
      <c r="AS21" s="28" t="n"/>
      <c r="AT21" s="28" t="n"/>
      <c r="AU21" s="28" t="n"/>
      <c r="AV21" s="28" t="n"/>
      <c r="AW21" s="28" t="n"/>
      <c r="AX21" s="28" t="n"/>
      <c r="AY21" s="28" t="n"/>
      <c r="AZ21" s="28" t="n"/>
      <c r="BA21" s="28" t="n"/>
      <c r="BB21" s="28" t="n"/>
      <c r="BC21" s="28" t="n"/>
      <c r="BD21" s="28" t="n"/>
      <c r="BE21" s="28" t="n"/>
      <c r="BF21" s="28" t="n"/>
      <c r="BG21" s="28" t="n"/>
      <c r="BH21" s="28" t="n"/>
      <c r="BI21" s="28" t="n"/>
      <c r="BJ21" s="28" t="n"/>
      <c r="BK21" s="28" t="n"/>
      <c r="BL21" s="28" t="n"/>
      <c r="BM21" s="28" t="n"/>
      <c r="BN21" s="28" t="n"/>
      <c r="BO21" s="28" t="n"/>
      <c r="BP21" s="28" t="n"/>
      <c r="BQ21" s="28" t="n"/>
    </row>
    <row r="22" ht="16" customHeight="1" s="91">
      <c r="A22" s="35" t="inlineStr">
        <is>
          <t>1.2.02.627</t>
        </is>
      </c>
      <c r="B22" s="35" t="n">
        <v>32806</v>
      </c>
      <c r="C22" s="35" t="inlineStr">
        <is>
          <t>PI2602FMC009</t>
        </is>
      </c>
      <c r="D22" s="127" t="inlineStr">
        <is>
          <t>WO-ZZ00020185</t>
        </is>
      </c>
      <c r="E22" s="40" t="inlineStr">
        <is>
          <t>Cara Protector成人护理垫60*60CM（50片*6包）CU001649</t>
        </is>
      </c>
      <c r="G22" s="25" t="n">
        <v>50</v>
      </c>
      <c r="H22" s="25" t="n">
        <v>6</v>
      </c>
      <c r="I22" s="123" t="n">
        <v>46078</v>
      </c>
      <c r="J22" s="126" t="n">
        <v>46111</v>
      </c>
      <c r="K22" s="25" t="n">
        <v>1233</v>
      </c>
      <c r="L22" s="25">
        <f>F21*G21*J21</f>
        <v/>
      </c>
      <c r="M22" s="43" t="n"/>
      <c r="N22" s="28" t="n"/>
      <c r="O22" s="28" t="n"/>
      <c r="P22" s="28" t="n"/>
      <c r="Q22" s="28" t="n"/>
      <c r="R22" s="28" t="n"/>
      <c r="S22" s="28" t="n"/>
      <c r="T22" s="28" t="n"/>
      <c r="U22" s="28" t="n"/>
      <c r="V22" s="28" t="n"/>
      <c r="W22" s="28" t="n"/>
      <c r="X22" s="28" t="n"/>
      <c r="Y22" s="28" t="n"/>
      <c r="Z22" s="28" t="n"/>
      <c r="AA22" s="28" t="n"/>
      <c r="AB22" s="28" t="n"/>
      <c r="AC22" s="28" t="n"/>
      <c r="AD22" s="28" t="n"/>
      <c r="AE22" s="28" t="n"/>
      <c r="AF22" s="28" t="n"/>
      <c r="AG22" s="28" t="n"/>
      <c r="AH22" s="28" t="n"/>
      <c r="AI22" s="28" t="n"/>
      <c r="AJ22" s="28" t="n"/>
      <c r="AK22" s="28" t="n"/>
      <c r="AL22" s="28" t="n"/>
      <c r="AM22" s="28" t="n"/>
      <c r="AN22" s="28" t="n"/>
      <c r="AO22" s="28" t="n"/>
      <c r="AP22" s="28" t="n"/>
      <c r="AQ22" s="28" t="n"/>
      <c r="AR22" s="28" t="n"/>
      <c r="AS22" s="28" t="n"/>
      <c r="AT22" s="28" t="n"/>
      <c r="AU22" s="28" t="n"/>
      <c r="AV22" s="28" t="n"/>
      <c r="AW22" s="28" t="n"/>
      <c r="AX22" s="28" t="n"/>
      <c r="AY22" s="28" t="n"/>
      <c r="AZ22" s="28" t="n"/>
      <c r="BA22" s="28" t="n"/>
      <c r="BB22" s="28" t="n"/>
      <c r="BC22" s="28" t="n"/>
      <c r="BD22" s="28" t="n"/>
      <c r="BE22" s="28" t="n"/>
      <c r="BF22" s="28" t="n"/>
      <c r="BG22" s="28" t="n"/>
      <c r="BH22" s="28" t="n"/>
      <c r="BI22" s="28" t="n"/>
      <c r="BJ22" s="28" t="n"/>
      <c r="BK22" s="28" t="n"/>
      <c r="BL22" s="28" t="n"/>
      <c r="BM22" s="28" t="n"/>
      <c r="BN22" s="28" t="n"/>
      <c r="BO22" s="28" t="n"/>
      <c r="BP22" s="28" t="n"/>
      <c r="BQ22" s="28" t="n"/>
    </row>
    <row r="23" ht="17.5" customHeight="1" s="91">
      <c r="A23" s="35" t="inlineStr">
        <is>
          <t>1.2.02.627</t>
        </is>
      </c>
      <c r="B23" s="35" t="n">
        <v>32807</v>
      </c>
      <c r="C23" s="35" t="inlineStr">
        <is>
          <t>PI2602FMC010</t>
        </is>
      </c>
      <c r="D23" s="127" t="inlineStr">
        <is>
          <t>WO-ZZ00020186</t>
        </is>
      </c>
      <c r="E23" s="40" t="inlineStr">
        <is>
          <t>Cara Protector成人护理垫60*60CM（50片*6包）CU001649</t>
        </is>
      </c>
      <c r="G23" s="25" t="n">
        <v>50</v>
      </c>
      <c r="H23" s="25" t="n">
        <v>6</v>
      </c>
      <c r="I23" s="123" t="n">
        <v>46078</v>
      </c>
      <c r="J23" s="126" t="n">
        <v>46111</v>
      </c>
      <c r="K23" s="25" t="n">
        <v>1233</v>
      </c>
      <c r="L23" s="25">
        <f>F22*G22*J22</f>
        <v/>
      </c>
      <c r="M23" s="43" t="n"/>
      <c r="N23" s="28" t="n"/>
      <c r="O23" s="28" t="n"/>
      <c r="P23" s="28" t="n"/>
      <c r="Q23" s="28" t="n"/>
      <c r="R23" s="28" t="n"/>
      <c r="S23" s="28" t="n"/>
      <c r="T23" s="28" t="n"/>
      <c r="U23" s="28" t="n"/>
      <c r="V23" s="28" t="n"/>
      <c r="W23" s="28" t="n"/>
      <c r="X23" s="28" t="n"/>
      <c r="Y23" s="28" t="n"/>
      <c r="Z23" s="28" t="n"/>
      <c r="AA23" s="28" t="n"/>
      <c r="AB23" s="28" t="n"/>
      <c r="AC23" s="28" t="n"/>
      <c r="AD23" s="28" t="n"/>
      <c r="AE23" s="28" t="n"/>
      <c r="AF23" s="28" t="n"/>
      <c r="AG23" s="28" t="n"/>
      <c r="AH23" s="28" t="n"/>
      <c r="AI23" s="28" t="n"/>
      <c r="AJ23" s="28" t="n"/>
      <c r="AK23" s="28" t="n"/>
      <c r="AL23" s="28" t="n"/>
      <c r="AM23" s="28" t="n"/>
      <c r="AN23" s="28" t="n"/>
      <c r="AO23" s="28" t="n"/>
      <c r="AP23" s="28" t="n"/>
      <c r="AQ23" s="28" t="n"/>
      <c r="AR23" s="28" t="n"/>
      <c r="AS23" s="28" t="n"/>
      <c r="AT23" s="28" t="n"/>
      <c r="AU23" s="28" t="n"/>
      <c r="AV23" s="28" t="n"/>
      <c r="AW23" s="28" t="n"/>
      <c r="AX23" s="28" t="n"/>
      <c r="AY23" s="28" t="n"/>
      <c r="AZ23" s="28" t="n"/>
      <c r="BA23" s="28" t="n"/>
      <c r="BB23" s="28" t="n"/>
      <c r="BC23" s="28" t="n"/>
      <c r="BD23" s="28" t="n"/>
      <c r="BE23" s="28" t="n"/>
      <c r="BF23" s="28" t="n"/>
      <c r="BG23" s="28" t="n"/>
      <c r="BH23" s="28" t="n"/>
      <c r="BI23" s="28" t="n"/>
      <c r="BJ23" s="28" t="n"/>
      <c r="BK23" s="28" t="n"/>
      <c r="BL23" s="28" t="n"/>
      <c r="BM23" s="28" t="n"/>
      <c r="BN23" s="28" t="n"/>
      <c r="BO23" s="28" t="n"/>
      <c r="BP23" s="28" t="n"/>
      <c r="BQ23" s="28" t="n"/>
    </row>
    <row r="24" ht="17.5" customHeight="1" s="91">
      <c r="A24" s="35" t="inlineStr">
        <is>
          <t>1.2.02.627</t>
        </is>
      </c>
      <c r="B24" s="35" t="n">
        <v>32662</v>
      </c>
      <c r="C24" s="35" t="inlineStr">
        <is>
          <t>PI2602FMC005</t>
        </is>
      </c>
      <c r="D24" s="127" t="inlineStr">
        <is>
          <t>WO-ZZ00020181</t>
        </is>
      </c>
      <c r="E24" s="40" t="inlineStr">
        <is>
          <t>Cara Protector成人护理垫60*60CM（50片*6包）CU001649</t>
        </is>
      </c>
      <c r="G24" s="25" t="n">
        <v>50</v>
      </c>
      <c r="H24" s="25" t="n">
        <v>6</v>
      </c>
      <c r="I24" s="123" t="n">
        <v>46078</v>
      </c>
      <c r="J24" s="126" t="n">
        <v>46122</v>
      </c>
      <c r="K24" s="25" t="n">
        <v>1233</v>
      </c>
      <c r="L24" s="25">
        <f>F23*G23*J23</f>
        <v/>
      </c>
      <c r="M24" s="43" t="n"/>
      <c r="N24" s="28" t="n"/>
      <c r="O24" s="28" t="n"/>
      <c r="P24" s="28" t="n"/>
      <c r="Q24" s="28" t="n"/>
      <c r="R24" s="28" t="n"/>
      <c r="S24" s="28" t="n"/>
      <c r="T24" s="28" t="n"/>
      <c r="U24" s="28" t="n"/>
      <c r="V24" s="28" t="n"/>
      <c r="W24" s="28" t="n"/>
      <c r="X24" s="28" t="n"/>
      <c r="Y24" s="28" t="n"/>
      <c r="Z24" s="28" t="n"/>
      <c r="AA24" s="28" t="n"/>
      <c r="AB24" s="28" t="n"/>
      <c r="AC24" s="28" t="n"/>
      <c r="AD24" s="28" t="n"/>
      <c r="AE24" s="28" t="n"/>
      <c r="AF24" s="28" t="n"/>
      <c r="AG24" s="28" t="n"/>
      <c r="AH24" s="28" t="n"/>
      <c r="AI24" s="28" t="n"/>
      <c r="AJ24" s="28" t="n"/>
      <c r="AK24" s="28" t="n"/>
      <c r="AL24" s="28" t="n"/>
      <c r="AM24" s="28" t="n"/>
      <c r="AN24" s="28" t="n"/>
      <c r="AO24" s="28" t="n"/>
      <c r="AP24" s="28" t="n"/>
      <c r="AQ24" s="28" t="n"/>
      <c r="AR24" s="28" t="n"/>
      <c r="AS24" s="28" t="n"/>
      <c r="AT24" s="28" t="n"/>
      <c r="AU24" s="28" t="n"/>
      <c r="AV24" s="28" t="n"/>
      <c r="AW24" s="28" t="n"/>
      <c r="AX24" s="28" t="n"/>
      <c r="AY24" s="28" t="n"/>
      <c r="AZ24" s="28" t="n"/>
      <c r="BA24" s="28" t="n"/>
      <c r="BB24" s="28" t="n"/>
      <c r="BC24" s="28" t="n"/>
      <c r="BD24" s="28" t="n"/>
      <c r="BE24" s="28" t="n"/>
      <c r="BF24" s="28" t="n"/>
      <c r="BG24" s="28" t="n"/>
      <c r="BH24" s="28" t="n"/>
      <c r="BI24" s="28" t="n"/>
      <c r="BJ24" s="28" t="n"/>
      <c r="BK24" s="28" t="n"/>
      <c r="BL24" s="28" t="n"/>
      <c r="BM24" s="28" t="n"/>
      <c r="BN24" s="28" t="n"/>
      <c r="BO24" s="28" t="n"/>
      <c r="BP24" s="28" t="n"/>
      <c r="BQ24" s="28" t="n"/>
    </row>
    <row r="25" ht="17.5" customHeight="1" s="91">
      <c r="A25" s="35" t="inlineStr">
        <is>
          <t>1.2.02.627</t>
        </is>
      </c>
      <c r="B25" s="35" t="n">
        <v>32664</v>
      </c>
      <c r="C25" s="35" t="inlineStr">
        <is>
          <t>PI2602FMC006</t>
        </is>
      </c>
      <c r="D25" s="127" t="inlineStr">
        <is>
          <t>WO-ZZ00020182</t>
        </is>
      </c>
      <c r="E25" s="40" t="inlineStr">
        <is>
          <t>Cara Protector成人护理垫60*60CM（50片*6包）CU001649</t>
        </is>
      </c>
      <c r="G25" s="25" t="n">
        <v>50</v>
      </c>
      <c r="H25" s="25" t="n">
        <v>6</v>
      </c>
      <c r="I25" s="123" t="n">
        <v>46078</v>
      </c>
      <c r="J25" s="126" t="n">
        <v>46148</v>
      </c>
      <c r="K25" s="25" t="n">
        <v>1233</v>
      </c>
      <c r="L25" s="25">
        <f>F24*G24*J24</f>
        <v/>
      </c>
      <c r="M25" s="43" t="n"/>
      <c r="N25" s="28" t="n"/>
      <c r="O25" s="28" t="n"/>
      <c r="P25" s="28" t="n"/>
      <c r="Q25" s="28" t="n"/>
      <c r="R25" s="28" t="n"/>
      <c r="S25" s="28" t="n"/>
      <c r="T25" s="28" t="n"/>
      <c r="U25" s="28" t="n"/>
      <c r="V25" s="28" t="n"/>
      <c r="W25" s="28" t="n"/>
      <c r="X25" s="28" t="n"/>
      <c r="Y25" s="28" t="n"/>
      <c r="Z25" s="28" t="n"/>
      <c r="AA25" s="28" t="n"/>
      <c r="AB25" s="28" t="n"/>
      <c r="AC25" s="28" t="n"/>
      <c r="AD25" s="28" t="n"/>
      <c r="AE25" s="28" t="n"/>
      <c r="AF25" s="28" t="n"/>
      <c r="AG25" s="28" t="n"/>
      <c r="AH25" s="28" t="n"/>
      <c r="AI25" s="28" t="n"/>
      <c r="AJ25" s="28" t="n"/>
      <c r="AK25" s="28" t="n"/>
      <c r="AL25" s="28" t="n"/>
      <c r="AM25" s="28" t="n"/>
      <c r="AN25" s="28" t="n"/>
      <c r="AO25" s="28" t="n"/>
      <c r="AP25" s="28" t="n"/>
      <c r="AQ25" s="28" t="n"/>
      <c r="AR25" s="28" t="n"/>
      <c r="AS25" s="28" t="n"/>
      <c r="AT25" s="28" t="n"/>
      <c r="AU25" s="28" t="n"/>
      <c r="AV25" s="28" t="n"/>
      <c r="AW25" s="28" t="n"/>
      <c r="AX25" s="28" t="n"/>
      <c r="AY25" s="28" t="n"/>
      <c r="AZ25" s="28" t="n"/>
      <c r="BA25" s="28" t="n"/>
      <c r="BB25" s="28" t="n"/>
      <c r="BC25" s="28" t="n"/>
      <c r="BD25" s="28" t="n"/>
      <c r="BE25" s="28" t="n"/>
      <c r="BF25" s="28" t="n"/>
      <c r="BG25" s="28" t="n"/>
      <c r="BH25" s="28" t="n"/>
      <c r="BI25" s="28" t="n"/>
      <c r="BJ25" s="28" t="n"/>
      <c r="BK25" s="28" t="n"/>
      <c r="BL25" s="28" t="n"/>
      <c r="BM25" s="28" t="n"/>
      <c r="BN25" s="28" t="n"/>
      <c r="BO25" s="28" t="n"/>
      <c r="BP25" s="28" t="n"/>
      <c r="BQ25" s="28" t="n"/>
    </row>
    <row r="26" ht="17.5" customHeight="1" s="91">
      <c r="A26" s="35" t="inlineStr">
        <is>
          <t>1.2.02.627</t>
        </is>
      </c>
      <c r="B26" s="35" t="n">
        <v>33108</v>
      </c>
      <c r="C26" s="35" t="inlineStr">
        <is>
          <t>PI2603FMC015</t>
        </is>
      </c>
      <c r="D26" s="127" t="inlineStr">
        <is>
          <t>WO-ZZ00020192</t>
        </is>
      </c>
      <c r="E26" s="40" t="inlineStr">
        <is>
          <t>Cara Protector成人护理垫60*60CM（50片*6包）CU001649</t>
        </is>
      </c>
      <c r="G26" s="25" t="n">
        <v>50</v>
      </c>
      <c r="H26" s="25" t="n">
        <v>6</v>
      </c>
      <c r="I26" s="123" t="n">
        <v>46084</v>
      </c>
      <c r="J26" s="126" t="n">
        <v>46160</v>
      </c>
      <c r="K26" s="25" t="n">
        <v>1233</v>
      </c>
      <c r="L26" s="25">
        <f>F25*G25*J25</f>
        <v/>
      </c>
      <c r="M26" s="43" t="n"/>
      <c r="N26" s="28" t="n"/>
      <c r="O26" s="28" t="n"/>
      <c r="P26" s="28" t="n"/>
      <c r="Q26" s="28" t="n"/>
      <c r="R26" s="28" t="n"/>
      <c r="S26" s="28" t="n"/>
      <c r="T26" s="28" t="n"/>
      <c r="U26" s="28" t="n"/>
      <c r="V26" s="28" t="n"/>
      <c r="W26" s="28" t="n"/>
      <c r="X26" s="28" t="n"/>
      <c r="Y26" s="28" t="n"/>
      <c r="Z26" s="28" t="n"/>
      <c r="AA26" s="28" t="n"/>
      <c r="AB26" s="28" t="n"/>
      <c r="AC26" s="28" t="n"/>
      <c r="AD26" s="28" t="n"/>
      <c r="AE26" s="28" t="n"/>
      <c r="AF26" s="28" t="n"/>
      <c r="AG26" s="28" t="n"/>
      <c r="AH26" s="28" t="n"/>
      <c r="AI26" s="28" t="n"/>
      <c r="AJ26" s="28" t="n"/>
      <c r="AK26" s="28" t="n"/>
      <c r="AL26" s="28" t="n"/>
      <c r="AM26" s="28" t="n"/>
      <c r="AN26" s="28" t="n"/>
      <c r="AO26" s="28" t="n"/>
      <c r="AP26" s="28" t="n"/>
      <c r="AQ26" s="28" t="n"/>
      <c r="AR26" s="28" t="n"/>
      <c r="AS26" s="28" t="n"/>
      <c r="AT26" s="28" t="n"/>
      <c r="AU26" s="28" t="n"/>
      <c r="AV26" s="28" t="n"/>
      <c r="AW26" s="28" t="n"/>
      <c r="AX26" s="28" t="n"/>
      <c r="AY26" s="28" t="n"/>
      <c r="AZ26" s="28" t="n"/>
      <c r="BA26" s="28" t="n"/>
      <c r="BB26" s="28" t="n"/>
      <c r="BC26" s="28" t="n"/>
      <c r="BD26" s="28" t="n"/>
      <c r="BE26" s="28" t="n"/>
      <c r="BF26" s="28" t="n"/>
      <c r="BG26" s="28" t="n"/>
      <c r="BH26" s="28" t="n"/>
      <c r="BI26" s="28" t="n"/>
      <c r="BJ26" s="28" t="n"/>
      <c r="BK26" s="28" t="n"/>
      <c r="BL26" s="28" t="n"/>
      <c r="BM26" s="28" t="n"/>
      <c r="BN26" s="28" t="n"/>
      <c r="BO26" s="28" t="n"/>
      <c r="BP26" s="28" t="n"/>
      <c r="BQ26" s="28" t="n"/>
    </row>
    <row r="27" ht="17.5" customHeight="1" s="91">
      <c r="A27" s="35" t="inlineStr">
        <is>
          <t>1.2.03.682</t>
        </is>
      </c>
      <c r="B27" s="35" t="n">
        <v>32660</v>
      </c>
      <c r="C27" s="35" t="inlineStr">
        <is>
          <t>PI2602FMC012</t>
        </is>
      </c>
      <c r="D27" s="127" t="inlineStr">
        <is>
          <t>WO-ZZ00020187</t>
        </is>
      </c>
      <c r="E27" s="40" t="inlineStr">
        <is>
          <t>Cara Protector成人护理垫90*60CM（50片*4包）CU001649</t>
        </is>
      </c>
      <c r="G27" s="25" t="n">
        <v>50</v>
      </c>
      <c r="H27" s="25" t="n">
        <v>4</v>
      </c>
      <c r="I27" s="123" t="n">
        <v>46078</v>
      </c>
      <c r="J27" s="126" t="n">
        <v>46122</v>
      </c>
      <c r="K27" s="25" t="n">
        <v>1187</v>
      </c>
      <c r="L27" s="25">
        <f>F26*G26*J26</f>
        <v/>
      </c>
      <c r="M27" s="43" t="n"/>
      <c r="N27" s="28" t="n"/>
      <c r="O27" s="28" t="n"/>
      <c r="P27" s="28" t="n"/>
      <c r="Q27" s="28" t="n"/>
      <c r="R27" s="28" t="n"/>
      <c r="S27" s="28" t="n"/>
      <c r="T27" s="28" t="n"/>
      <c r="U27" s="28" t="n"/>
      <c r="V27" s="28" t="n"/>
      <c r="W27" s="28" t="n"/>
      <c r="X27" s="28" t="n"/>
      <c r="Y27" s="28" t="n"/>
      <c r="Z27" s="28" t="n"/>
      <c r="AA27" s="28" t="n"/>
      <c r="AB27" s="28" t="n"/>
      <c r="AC27" s="28" t="n"/>
      <c r="AD27" s="28" t="n"/>
      <c r="AE27" s="28" t="n"/>
      <c r="AF27" s="28" t="n"/>
      <c r="AG27" s="28" t="n"/>
      <c r="AH27" s="28" t="n"/>
      <c r="AI27" s="28" t="n"/>
      <c r="AJ27" s="28" t="n"/>
      <c r="AK27" s="28" t="n"/>
      <c r="AL27" s="28" t="n"/>
      <c r="AM27" s="28" t="n"/>
      <c r="AN27" s="28" t="n"/>
      <c r="AO27" s="28" t="n"/>
      <c r="AP27" s="28" t="n"/>
      <c r="AQ27" s="28" t="n"/>
      <c r="AR27" s="28" t="n"/>
      <c r="AS27" s="28" t="n"/>
      <c r="AT27" s="28" t="n"/>
      <c r="AU27" s="28" t="n"/>
      <c r="AV27" s="28" t="n"/>
      <c r="AW27" s="28" t="n"/>
      <c r="AX27" s="28" t="n"/>
      <c r="AY27" s="28" t="n"/>
      <c r="AZ27" s="28" t="n"/>
      <c r="BA27" s="28" t="n"/>
      <c r="BB27" s="28" t="n"/>
      <c r="BC27" s="28" t="n"/>
      <c r="BD27" s="28" t="n"/>
      <c r="BE27" s="28" t="n"/>
      <c r="BF27" s="28" t="n"/>
      <c r="BG27" s="28" t="n"/>
      <c r="BH27" s="28" t="n"/>
      <c r="BI27" s="28" t="n"/>
      <c r="BJ27" s="28" t="n"/>
      <c r="BK27" s="28" t="n"/>
      <c r="BL27" s="28" t="n"/>
      <c r="BM27" s="28" t="n"/>
      <c r="BN27" s="28" t="n"/>
      <c r="BO27" s="28" t="n"/>
      <c r="BP27" s="28" t="n"/>
      <c r="BQ27" s="28" t="n"/>
    </row>
    <row r="28" ht="17.5" customHeight="1" s="91">
      <c r="A28" s="35" t="inlineStr">
        <is>
          <t>1.2.03.682</t>
        </is>
      </c>
      <c r="B28" s="35" t="n">
        <v>32663</v>
      </c>
      <c r="C28" s="35" t="inlineStr">
        <is>
          <t>PI2602FMC013</t>
        </is>
      </c>
      <c r="D28" s="127" t="inlineStr">
        <is>
          <t>WO-ZZ00020188</t>
        </is>
      </c>
      <c r="E28" s="40" t="inlineStr">
        <is>
          <t>Cara Protector成人护理垫90*60CM（50片*4包）CU001649</t>
        </is>
      </c>
      <c r="G28" s="25" t="n">
        <v>50</v>
      </c>
      <c r="H28" s="25" t="n">
        <v>4</v>
      </c>
      <c r="I28" s="123" t="n">
        <v>46078</v>
      </c>
      <c r="J28" s="126" t="n">
        <v>46139</v>
      </c>
      <c r="K28" s="25" t="n">
        <v>1187</v>
      </c>
      <c r="L28" s="25">
        <f>F27*G27*J27</f>
        <v/>
      </c>
      <c r="M28" s="43" t="n"/>
      <c r="N28" s="28" t="n"/>
      <c r="O28" s="28" t="n"/>
      <c r="P28" s="28" t="n"/>
      <c r="Q28" s="28" t="n"/>
      <c r="R28" s="28" t="n"/>
      <c r="S28" s="28" t="n"/>
      <c r="T28" s="28" t="n"/>
      <c r="U28" s="28" t="n"/>
      <c r="V28" s="28" t="n"/>
      <c r="W28" s="28" t="n"/>
      <c r="X28" s="28" t="n"/>
      <c r="Y28" s="28" t="n"/>
      <c r="Z28" s="28" t="n"/>
      <c r="AA28" s="28" t="n"/>
      <c r="AB28" s="28" t="n"/>
      <c r="AC28" s="28" t="n"/>
      <c r="AD28" s="28" t="n"/>
      <c r="AE28" s="28" t="n"/>
      <c r="AF28" s="28" t="n"/>
      <c r="AG28" s="28" t="n"/>
      <c r="AH28" s="28" t="n"/>
      <c r="AI28" s="28" t="n"/>
      <c r="AJ28" s="28" t="n"/>
      <c r="AK28" s="28" t="n"/>
      <c r="AL28" s="28" t="n"/>
      <c r="AM28" s="28" t="n"/>
      <c r="AN28" s="28" t="n"/>
      <c r="AO28" s="28" t="n"/>
      <c r="AP28" s="28" t="n"/>
      <c r="AQ28" s="28" t="n"/>
      <c r="AR28" s="28" t="n"/>
      <c r="AS28" s="28" t="n"/>
      <c r="AT28" s="28" t="n"/>
      <c r="AU28" s="28" t="n"/>
      <c r="AV28" s="28" t="n"/>
      <c r="AW28" s="28" t="n"/>
      <c r="AX28" s="28" t="n"/>
      <c r="AY28" s="28" t="n"/>
      <c r="AZ28" s="28" t="n"/>
      <c r="BA28" s="28" t="n"/>
      <c r="BB28" s="28" t="n"/>
      <c r="BC28" s="28" t="n"/>
      <c r="BD28" s="28" t="n"/>
      <c r="BE28" s="28" t="n"/>
      <c r="BF28" s="28" t="n"/>
      <c r="BG28" s="28" t="n"/>
      <c r="BH28" s="28" t="n"/>
      <c r="BI28" s="28" t="n"/>
      <c r="BJ28" s="28" t="n"/>
      <c r="BK28" s="28" t="n"/>
      <c r="BL28" s="28" t="n"/>
      <c r="BM28" s="28" t="n"/>
      <c r="BN28" s="28" t="n"/>
      <c r="BO28" s="28" t="n"/>
      <c r="BP28" s="28" t="n"/>
      <c r="BQ28" s="28" t="n"/>
    </row>
    <row r="29" ht="17.5" customFormat="1" customHeight="1" s="2">
      <c r="A29" s="35" t="inlineStr">
        <is>
          <t>1.2.03.682</t>
        </is>
      </c>
      <c r="B29" s="35" t="n">
        <v>33109</v>
      </c>
      <c r="C29" s="35" t="inlineStr">
        <is>
          <t>PI2603FMC016</t>
        </is>
      </c>
      <c r="D29" s="127" t="inlineStr">
        <is>
          <t>WO-ZZ00020191</t>
        </is>
      </c>
      <c r="E29" s="40" t="inlineStr">
        <is>
          <t>Cara Protector成人护理垫90*60CM（50片*4包）CU001649</t>
        </is>
      </c>
      <c r="G29" s="25" t="n">
        <v>50</v>
      </c>
      <c r="H29" s="25" t="n">
        <v>4</v>
      </c>
      <c r="I29" s="123" t="n">
        <v>46084</v>
      </c>
      <c r="J29" s="126" t="n">
        <v>46160</v>
      </c>
      <c r="K29" s="25" t="n">
        <v>1270</v>
      </c>
      <c r="L29" s="25">
        <f>F28*G28*J28</f>
        <v/>
      </c>
      <c r="M29" s="43" t="n"/>
      <c r="N29" s="28" t="n"/>
      <c r="O29" s="28" t="n"/>
      <c r="P29" s="28" t="n"/>
      <c r="Q29" s="28" t="n"/>
      <c r="R29" s="28" t="n"/>
      <c r="S29" s="28" t="n"/>
      <c r="T29" s="28" t="n"/>
      <c r="U29" s="28" t="n"/>
      <c r="V29" s="28" t="n"/>
      <c r="W29" s="28" t="n"/>
      <c r="X29" s="28" t="n"/>
      <c r="Y29" s="28" t="n"/>
      <c r="Z29" s="28" t="n"/>
      <c r="AA29" s="28" t="n"/>
      <c r="AB29" s="28" t="n"/>
      <c r="AC29" s="28" t="n"/>
      <c r="AD29" s="28" t="n"/>
      <c r="AE29" s="28" t="n"/>
      <c r="AF29" s="28" t="n"/>
      <c r="AG29" s="28" t="n"/>
      <c r="AH29" s="28" t="n"/>
      <c r="AI29" s="28" t="n"/>
      <c r="AJ29" s="28" t="n"/>
      <c r="AK29" s="28" t="n"/>
      <c r="AL29" s="28" t="n"/>
      <c r="AM29" s="28" t="n"/>
      <c r="AN29" s="28" t="n"/>
      <c r="AO29" s="28" t="n"/>
      <c r="AP29" s="28" t="n"/>
      <c r="AQ29" s="28" t="n"/>
      <c r="AR29" s="28" t="n"/>
      <c r="AS29" s="28" t="n"/>
      <c r="AT29" s="28" t="n"/>
      <c r="AU29" s="28" t="n"/>
      <c r="AV29" s="28" t="n"/>
      <c r="AW29" s="28" t="n"/>
      <c r="AX29" s="28" t="n"/>
      <c r="AY29" s="28" t="n"/>
      <c r="AZ29" s="28" t="n"/>
      <c r="BA29" s="28" t="n"/>
      <c r="BB29" s="28" t="n"/>
      <c r="BC29" s="28" t="n"/>
      <c r="BD29" s="28" t="n"/>
      <c r="BE29" s="28" t="n"/>
      <c r="BF29" s="28" t="n"/>
      <c r="BG29" s="28" t="n"/>
      <c r="BH29" s="28" t="n"/>
      <c r="BI29" s="28" t="n"/>
      <c r="BJ29" s="28" t="n"/>
      <c r="BK29" s="28" t="n"/>
      <c r="BL29" s="28" t="n"/>
      <c r="BM29" s="28" t="n"/>
      <c r="BN29" s="28" t="n"/>
      <c r="BO29" s="28" t="n"/>
      <c r="BP29" s="28" t="n"/>
      <c r="BQ29" s="28" t="n"/>
    </row>
    <row r="30" ht="17" customHeight="1" s="91">
      <c r="A30" s="35" t="inlineStr">
        <is>
          <t>1.2.07.614</t>
        </is>
      </c>
      <c r="B30" s="35" t="n"/>
      <c r="C30" s="35" t="n"/>
      <c r="D30" s="127" t="inlineStr">
        <is>
          <t>WO-ZZ00020329</t>
        </is>
      </c>
      <c r="E30" s="40" t="inlineStr">
        <is>
          <t>Zako医用垫单XL码 150*70cm 2片</t>
        </is>
      </c>
      <c r="F30" t="inlineStr">
        <is>
          <t>XL</t>
        </is>
      </c>
      <c r="G30" s="25" t="n">
        <v>2</v>
      </c>
      <c r="H30" s="25" t="n">
        <v>32</v>
      </c>
      <c r="I30" s="123" t="n"/>
      <c r="J30" s="126" t="n"/>
      <c r="K30" s="25" t="n">
        <v>100</v>
      </c>
      <c r="L30" s="25">
        <f>F29*G29*J29</f>
        <v/>
      </c>
      <c r="M30" s="43" t="n"/>
      <c r="N30" s="24" t="n"/>
      <c r="O30" s="24" t="n"/>
      <c r="P30" s="24" t="n"/>
      <c r="Q30" s="24" t="n"/>
      <c r="R30" s="24" t="n"/>
      <c r="S30" s="24" t="n"/>
      <c r="T30" s="24" t="n"/>
      <c r="U30" s="24" t="n"/>
      <c r="V30" s="24" t="n"/>
      <c r="W30" s="24" t="n"/>
      <c r="X30" s="24" t="n"/>
      <c r="Y30" s="24" t="n"/>
      <c r="Z30" s="24" t="n"/>
      <c r="AA30" s="24" t="n"/>
      <c r="AB30" s="24" t="n"/>
      <c r="AC30" s="24" t="n"/>
      <c r="AD30" s="24" t="n"/>
      <c r="AE30" s="24" t="n"/>
      <c r="AF30" s="24" t="n"/>
      <c r="AG30" s="24" t="n"/>
      <c r="AH30" s="24" t="n"/>
      <c r="AI30" s="24" t="n"/>
      <c r="AJ30" s="24" t="n"/>
      <c r="AK30" s="24" t="n"/>
      <c r="AL30" s="24" t="n"/>
      <c r="AM30" s="24" t="n"/>
      <c r="AN30" s="24" t="n"/>
      <c r="AO30" s="24" t="n"/>
      <c r="AP30" s="24" t="n"/>
      <c r="AQ30" s="24" t="n"/>
      <c r="AR30" s="24" t="n"/>
      <c r="AS30" s="24" t="n"/>
      <c r="AT30" s="24" t="n"/>
      <c r="AU30" s="24" t="n"/>
      <c r="AV30" s="24" t="n"/>
      <c r="AW30" s="24" t="n"/>
      <c r="AX30" s="24" t="n"/>
      <c r="AY30" s="24" t="n"/>
      <c r="AZ30" s="24" t="n"/>
      <c r="BA30" s="24" t="n"/>
      <c r="BB30" s="24" t="n"/>
      <c r="BC30" s="24" t="n"/>
      <c r="BD30" s="24" t="n"/>
      <c r="BE30" s="24" t="n"/>
      <c r="BF30" s="24" t="n"/>
      <c r="BG30" s="24" t="n"/>
      <c r="BH30" s="24" t="n"/>
      <c r="BI30" s="24" t="n"/>
      <c r="BJ30" s="24" t="n"/>
      <c r="BK30" s="24" t="n"/>
      <c r="BL30" s="24" t="n"/>
      <c r="BM30" s="24" t="n"/>
      <c r="BN30" s="24" t="n"/>
      <c r="BO30" s="24" t="n"/>
      <c r="BP30" s="24" t="n"/>
      <c r="BQ30" s="24" t="n"/>
    </row>
    <row r="31" ht="18" customHeight="1" s="91">
      <c r="A31" s="35" t="inlineStr">
        <is>
          <t>1.2.11.001</t>
        </is>
      </c>
      <c r="B31" s="35" t="n"/>
      <c r="C31" s="35" t="inlineStr">
        <is>
          <t>NM-20260114-001</t>
        </is>
      </c>
      <c r="D31" s="127" t="inlineStr">
        <is>
          <t>WO-ZZ00020571</t>
        </is>
      </c>
      <c r="E31" s="40" t="inlineStr">
        <is>
          <t>珍琦优品医用垫单（B型）XXL码150x80cm（5片*12包）</t>
        </is>
      </c>
      <c r="F31" t="inlineStr">
        <is>
          <t>XXL</t>
        </is>
      </c>
      <c r="G31" s="25" t="n">
        <v>5</v>
      </c>
      <c r="H31" s="25" t="n">
        <v>12</v>
      </c>
      <c r="I31" s="123" t="n">
        <v>12</v>
      </c>
      <c r="J31" s="126" t="n">
        <v>46068</v>
      </c>
      <c r="K31" s="25" t="n">
        <v>285</v>
      </c>
      <c r="L31" s="25">
        <f>F30*G30*J30</f>
        <v/>
      </c>
      <c r="M31" s="43" t="n"/>
      <c r="N31" s="28" t="n"/>
      <c r="O31" s="28" t="n"/>
      <c r="P31" s="28" t="n"/>
      <c r="Q31" s="28" t="n"/>
      <c r="R31" s="28" t="n"/>
      <c r="S31" s="28" t="n"/>
      <c r="T31" s="28" t="n"/>
      <c r="U31" s="28" t="n"/>
      <c r="V31" s="28" t="n"/>
      <c r="W31" s="28" t="n"/>
      <c r="X31" s="28" t="n"/>
      <c r="Y31" s="28" t="n"/>
      <c r="Z31" s="28" t="n"/>
      <c r="AA31" s="28" t="n"/>
      <c r="AB31" s="28" t="n"/>
      <c r="AC31" s="28" t="n"/>
      <c r="AD31" s="28" t="n"/>
      <c r="AE31" s="28" t="n"/>
      <c r="AF31" s="28" t="n"/>
      <c r="AG31" s="28" t="n"/>
      <c r="AH31" s="28" t="n"/>
      <c r="AI31" s="28" t="n"/>
      <c r="AJ31" s="28" t="n"/>
      <c r="AK31" s="28" t="n"/>
      <c r="AL31" s="28" t="n"/>
      <c r="AM31" s="28" t="n"/>
      <c r="AN31" s="28" t="n"/>
      <c r="AO31" s="28" t="n"/>
      <c r="AP31" s="28" t="n"/>
      <c r="AQ31" s="28" t="n"/>
      <c r="AR31" s="28" t="n"/>
      <c r="AS31" s="28" t="n"/>
      <c r="AT31" s="28" t="n"/>
      <c r="AU31" s="28" t="n"/>
      <c r="AV31" s="28" t="n"/>
      <c r="AW31" s="28" t="n"/>
      <c r="AX31" s="28" t="n"/>
      <c r="AY31" s="28" t="n"/>
      <c r="AZ31" s="28" t="n"/>
      <c r="BA31" s="28" t="n"/>
      <c r="BB31" s="28" t="n"/>
      <c r="BC31" s="28" t="n"/>
      <c r="BD31" s="28" t="n"/>
      <c r="BE31" s="28" t="n"/>
      <c r="BF31" s="28" t="n"/>
      <c r="BG31" s="28" t="n"/>
      <c r="BH31" s="28" t="n"/>
      <c r="BI31" s="28" t="n"/>
      <c r="BJ31" s="28" t="n"/>
      <c r="BK31" s="28" t="n"/>
      <c r="BL31" s="28" t="n"/>
      <c r="BM31" s="28" t="n"/>
      <c r="BN31" s="28" t="n"/>
      <c r="BO31" s="28" t="n"/>
      <c r="BP31" s="28" t="n"/>
      <c r="BQ31" s="28" t="n"/>
    </row>
  </sheetData>
  <mergeCells count="3">
    <mergeCell ref="A1:H4"/>
    <mergeCell ref="I3:J4"/>
    <mergeCell ref="F5:G5"/>
  </mergeCells>
  <conditionalFormatting sqref="D6">
    <cfRule type="cellIs" priority="1" operator="equal" dxfId="1" stopIfTrue="1">
      <formula>"C-B&gt;10"</formula>
    </cfRule>
    <cfRule type="cellIs" priority="2" operator="equal" dxfId="0" stopIfTrue="1">
      <formula>"C-B&gt;30"</formula>
    </cfRule>
  </conditionalFormatting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8">
    <outlinePr summaryBelow="1" summaryRight="1"/>
    <pageSetUpPr/>
  </sheetPr>
  <dimension ref="A1:BQ9"/>
  <sheetViews>
    <sheetView showGridLines="0" zoomScale="70" zoomScaleNormal="70" workbookViewId="0">
      <pane xSplit="12" ySplit="5" topLeftCell="M6" activePane="bottomRight" state="frozen"/>
      <selection pane="topRight" activeCell="A1" sqref="A1"/>
      <selection pane="bottomLeft" activeCell="A1" sqref="A1"/>
      <selection pane="bottomRight" activeCell="R13" sqref="R13"/>
    </sheetView>
  </sheetViews>
  <sheetFormatPr baseColWidth="10" defaultColWidth="8.83203125" defaultRowHeight="15"/>
  <cols>
    <col width="11.83203125" customWidth="1" style="91" min="1" max="1"/>
    <col width="13.5" customWidth="1" style="91" min="2" max="2"/>
    <col width="14.1640625" customWidth="1" style="91" min="3" max="3"/>
    <col width="19.5" customWidth="1" style="91" min="4" max="4"/>
    <col width="40" customWidth="1" style="91" min="5" max="5"/>
    <col width="8.83203125" customWidth="1" style="3" min="8" max="8"/>
    <col width="10.1640625" customWidth="1" style="3" min="9" max="9"/>
    <col width="11.83203125" customWidth="1" style="91" min="10" max="10"/>
    <col width="12.83203125" customWidth="1" style="91" min="11" max="11"/>
    <col width="14.1640625" customWidth="1" style="91" min="12" max="12"/>
    <col width="10.1640625" customWidth="1" style="91" min="13" max="22"/>
    <col width="9" customWidth="1" style="91" min="23" max="37"/>
    <col width="10.1640625" customWidth="1" style="91" min="38" max="68"/>
  </cols>
  <sheetData>
    <row r="1" ht="16.25" customFormat="1" customHeight="1" s="101">
      <c r="A1" s="100" t="inlineStr">
        <is>
          <t>SN-1</t>
        </is>
      </c>
      <c r="J1" s="4" t="inlineStr">
        <is>
          <t>单班</t>
        </is>
      </c>
      <c r="K1" s="4" t="n">
        <v>500000</v>
      </c>
      <c r="L1" s="5" t="inlineStr">
        <is>
          <t>未排产计划</t>
        </is>
      </c>
      <c r="M1" s="107" t="n"/>
    </row>
    <row r="2" ht="16.25" customFormat="1" customHeight="1" s="101">
      <c r="J2" s="4" t="inlineStr">
        <is>
          <t>双班</t>
        </is>
      </c>
      <c r="K2" s="4" t="n">
        <v>1000000</v>
      </c>
      <c r="L2" s="5" t="inlineStr">
        <is>
          <t>4月排产计划</t>
        </is>
      </c>
      <c r="M2" s="108">
        <f>SUM(#REF!)</f>
        <v/>
      </c>
      <c r="N2" s="109" t="inlineStr">
        <is>
          <t>双</t>
        </is>
      </c>
      <c r="O2" s="109" t="inlineStr">
        <is>
          <t>双</t>
        </is>
      </c>
      <c r="P2" s="109" t="inlineStr">
        <is>
          <t>双</t>
        </is>
      </c>
      <c r="Q2" s="109" t="inlineStr">
        <is>
          <t>双</t>
        </is>
      </c>
      <c r="R2" s="109" t="inlineStr"/>
      <c r="S2" s="109" t="inlineStr">
        <is>
          <t>双</t>
        </is>
      </c>
      <c r="T2" s="109" t="inlineStr">
        <is>
          <t>双</t>
        </is>
      </c>
      <c r="U2" s="109" t="inlineStr">
        <is>
          <t>双</t>
        </is>
      </c>
      <c r="V2" s="109" t="inlineStr">
        <is>
          <t>双</t>
        </is>
      </c>
      <c r="W2" s="109" t="inlineStr">
        <is>
          <t>双</t>
        </is>
      </c>
      <c r="X2" s="109" t="inlineStr">
        <is>
          <t>双</t>
        </is>
      </c>
      <c r="Y2" s="109" t="inlineStr"/>
      <c r="Z2" s="109" t="inlineStr">
        <is>
          <t>双</t>
        </is>
      </c>
      <c r="AA2" s="109" t="inlineStr">
        <is>
          <t>双</t>
        </is>
      </c>
      <c r="AB2" s="109" t="inlineStr">
        <is>
          <t>双</t>
        </is>
      </c>
      <c r="AC2" s="109" t="inlineStr">
        <is>
          <t>双</t>
        </is>
      </c>
      <c r="AD2" s="109" t="inlineStr">
        <is>
          <t>双</t>
        </is>
      </c>
      <c r="AE2" s="109" t="inlineStr">
        <is>
          <t>双</t>
        </is>
      </c>
      <c r="AF2" s="109" t="inlineStr"/>
      <c r="AG2" s="109" t="inlineStr">
        <is>
          <t>双</t>
        </is>
      </c>
      <c r="AH2" s="109" t="inlineStr">
        <is>
          <t>双</t>
        </is>
      </c>
      <c r="AI2" s="109" t="inlineStr">
        <is>
          <t>双</t>
        </is>
      </c>
      <c r="AJ2" s="109" t="inlineStr">
        <is>
          <t>双</t>
        </is>
      </c>
      <c r="AK2" s="109" t="inlineStr">
        <is>
          <t>双</t>
        </is>
      </c>
      <c r="AL2" s="109" t="inlineStr">
        <is>
          <t>双</t>
        </is>
      </c>
      <c r="AM2" s="109" t="inlineStr"/>
      <c r="AN2" s="109" t="inlineStr">
        <is>
          <t>双</t>
        </is>
      </c>
      <c r="AO2" s="109" t="inlineStr">
        <is>
          <t>双</t>
        </is>
      </c>
      <c r="AP2" s="109" t="inlineStr">
        <is>
          <t>双</t>
        </is>
      </c>
      <c r="AQ2" s="109" t="inlineStr">
        <is>
          <t>双</t>
        </is>
      </c>
      <c r="AR2" s="109" t="inlineStr">
        <is>
          <t>双</t>
        </is>
      </c>
      <c r="AS2" s="109" t="inlineStr">
        <is>
          <t>双</t>
        </is>
      </c>
      <c r="AT2" s="109" t="inlineStr"/>
      <c r="AU2" s="109" t="inlineStr">
        <is>
          <t>双</t>
        </is>
      </c>
      <c r="AV2" s="109" t="inlineStr">
        <is>
          <t>双</t>
        </is>
      </c>
      <c r="AW2" s="109" t="inlineStr">
        <is>
          <t>双</t>
        </is>
      </c>
      <c r="AX2" s="109" t="inlineStr">
        <is>
          <t>双</t>
        </is>
      </c>
      <c r="AY2" s="109" t="inlineStr">
        <is>
          <t>双</t>
        </is>
      </c>
      <c r="AZ2" s="109" t="inlineStr">
        <is>
          <t>双</t>
        </is>
      </c>
      <c r="BA2" s="109" t="inlineStr"/>
      <c r="BB2" s="109" t="inlineStr">
        <is>
          <t>双</t>
        </is>
      </c>
      <c r="BC2" s="109" t="inlineStr">
        <is>
          <t>双</t>
        </is>
      </c>
      <c r="BD2" s="109" t="inlineStr">
        <is>
          <t>双</t>
        </is>
      </c>
      <c r="BE2" s="109" t="inlineStr">
        <is>
          <t>双</t>
        </is>
      </c>
      <c r="BF2" s="109" t="inlineStr">
        <is>
          <t>双</t>
        </is>
      </c>
      <c r="BG2" s="109" t="inlineStr">
        <is>
          <t>双</t>
        </is>
      </c>
      <c r="BH2" s="109" t="inlineStr"/>
      <c r="BI2" s="109" t="inlineStr">
        <is>
          <t>双</t>
        </is>
      </c>
      <c r="BJ2" s="109" t="inlineStr">
        <is>
          <t>双</t>
        </is>
      </c>
      <c r="BK2" s="109" t="inlineStr">
        <is>
          <t>双</t>
        </is>
      </c>
      <c r="BL2" s="109" t="inlineStr">
        <is>
          <t>双</t>
        </is>
      </c>
      <c r="BM2" s="109" t="inlineStr">
        <is>
          <t>双</t>
        </is>
      </c>
      <c r="BN2" s="109" t="inlineStr">
        <is>
          <t>双</t>
        </is>
      </c>
      <c r="BO2" s="109" t="inlineStr">
        <is>
          <t>双</t>
        </is>
      </c>
      <c r="BP2" s="109" t="inlineStr">
        <is>
          <t>双</t>
        </is>
      </c>
      <c r="BQ2" s="109" t="inlineStr">
        <is>
          <t>双</t>
        </is>
      </c>
    </row>
    <row r="3" ht="17" customFormat="1" customHeight="1" s="101">
      <c r="J3" s="102" t="n"/>
      <c r="K3" s="103" t="n"/>
      <c r="N3" s="0">
        <f>MAX(0,ROWS(UNIQUE(FILTER($F7:$F9,(N7:N9&gt;0)*($F7:$F9&lt;&gt;""))))-1)*IF(N2="双",VLOOKUP($A$1,'换码设置'!$A:$C,2,FALSE),IF(N2="单",VLOOKUP($A$1,'换码设置'!$A:$C,3,FALSE),0))</f>
        <v/>
      </c>
      <c r="O3" s="0">
        <f>MAX(0,ROWS(UNIQUE(FILTER($F7:$F9,(O7:O9&gt;0)*($F7:$F9&lt;&gt;""))))-1)*IF(O2="双",VLOOKUP($A$1,'换码设置'!$A:$C,2,FALSE),IF(O2="单",VLOOKUP($A$1,'换码设置'!$A:$C,3,FALSE),0))</f>
        <v/>
      </c>
      <c r="P3" s="0">
        <f>MAX(0,ROWS(UNIQUE(FILTER($F7:$F9,(P7:P9&gt;0)*($F7:$F9&lt;&gt;""))))-1)*IF(P2="双",VLOOKUP($A$1,'换码设置'!$A:$C,2,FALSE),IF(P2="单",VLOOKUP($A$1,'换码设置'!$A:$C,3,FALSE),0))</f>
        <v/>
      </c>
      <c r="Q3" s="0">
        <f>MAX(0,ROWS(UNIQUE(FILTER($F7:$F9,(Q7:Q9&gt;0)*($F7:$F9&lt;&gt;""))))-1)*IF(Q2="双",VLOOKUP($A$1,'换码设置'!$A:$C,2,FALSE),IF(Q2="单",VLOOKUP($A$1,'换码设置'!$A:$C,3,FALSE),0))</f>
        <v/>
      </c>
      <c r="R3" s="0">
        <f>MAX(0,ROWS(UNIQUE(FILTER($F7:$F9,(R7:R9&gt;0)*($F7:$F9&lt;&gt;""))))-1)*IF(R2="双",VLOOKUP($A$1,'换码设置'!$A:$C,2,FALSE),IF(R2="单",VLOOKUP($A$1,'换码设置'!$A:$C,3,FALSE),0))</f>
        <v/>
      </c>
      <c r="S3" s="0">
        <f>MAX(0,ROWS(UNIQUE(FILTER($F7:$F9,(S7:S9&gt;0)*($F7:$F9&lt;&gt;""))))-1)*IF(S2="双",VLOOKUP($A$1,'换码设置'!$A:$C,2,FALSE),IF(S2="单",VLOOKUP($A$1,'换码设置'!$A:$C,3,FALSE),0))</f>
        <v/>
      </c>
      <c r="T3" s="0">
        <f>MAX(0,ROWS(UNIQUE(FILTER($F7:$F9,(T7:T9&gt;0)*($F7:$F9&lt;&gt;""))))-1)*IF(T2="双",VLOOKUP($A$1,'换码设置'!$A:$C,2,FALSE),IF(T2="单",VLOOKUP($A$1,'换码设置'!$A:$C,3,FALSE),0))</f>
        <v/>
      </c>
      <c r="U3" s="0">
        <f>MAX(0,ROWS(UNIQUE(FILTER($F7:$F9,(U7:U9&gt;0)*($F7:$F9&lt;&gt;""))))-1)*IF(U2="双",VLOOKUP($A$1,'换码设置'!$A:$C,2,FALSE),IF(U2="单",VLOOKUP($A$1,'换码设置'!$A:$C,3,FALSE),0))</f>
        <v/>
      </c>
      <c r="V3" s="0">
        <f>MAX(0,ROWS(UNIQUE(FILTER($F7:$F9,(V7:V9&gt;0)*($F7:$F9&lt;&gt;""))))-1)*IF(V2="双",VLOOKUP($A$1,'换码设置'!$A:$C,2,FALSE),IF(V2="单",VLOOKUP($A$1,'换码设置'!$A:$C,3,FALSE),0))</f>
        <v/>
      </c>
      <c r="W3" s="0">
        <f>MAX(0,ROWS(UNIQUE(FILTER($F7:$F9,(W7:W9&gt;0)*($F7:$F9&lt;&gt;""))))-1)*IF(W2="双",VLOOKUP($A$1,'换码设置'!$A:$C,2,FALSE),IF(W2="单",VLOOKUP($A$1,'换码设置'!$A:$C,3,FALSE),0))</f>
        <v/>
      </c>
      <c r="X3" s="0">
        <f>MAX(0,ROWS(UNIQUE(FILTER($F7:$F9,(X7:X9&gt;0)*($F7:$F9&lt;&gt;""))))-1)*IF(X2="双",VLOOKUP($A$1,'换码设置'!$A:$C,2,FALSE),IF(X2="单",VLOOKUP($A$1,'换码设置'!$A:$C,3,FALSE),0))</f>
        <v/>
      </c>
      <c r="Y3" s="0">
        <f>MAX(0,ROWS(UNIQUE(FILTER($F7:$F9,(Y7:Y9&gt;0)*($F7:$F9&lt;&gt;""))))-1)*IF(Y2="双",VLOOKUP($A$1,'换码设置'!$A:$C,2,FALSE),IF(Y2="单",VLOOKUP($A$1,'换码设置'!$A:$C,3,FALSE),0))</f>
        <v/>
      </c>
      <c r="Z3" s="0">
        <f>MAX(0,ROWS(UNIQUE(FILTER($F7:$F9,(Z7:Z9&gt;0)*($F7:$F9&lt;&gt;""))))-1)*IF(Z2="双",VLOOKUP($A$1,'换码设置'!$A:$C,2,FALSE),IF(Z2="单",VLOOKUP($A$1,'换码设置'!$A:$C,3,FALSE),0))</f>
        <v/>
      </c>
      <c r="AA3" s="0">
        <f>MAX(0,ROWS(UNIQUE(FILTER($F7:$F9,(AA7:AA9&gt;0)*($F7:$F9&lt;&gt;""))))-1)*IF(AA2="双",VLOOKUP($A$1,'换码设置'!$A:$C,2,FALSE),IF(AA2="单",VLOOKUP($A$1,'换码设置'!$A:$C,3,FALSE),0))</f>
        <v/>
      </c>
      <c r="AB3" s="0">
        <f>MAX(0,ROWS(UNIQUE(FILTER($F7:$F9,(AB7:AB9&gt;0)*($F7:$F9&lt;&gt;""))))-1)*IF(AB2="双",VLOOKUP($A$1,'换码设置'!$A:$C,2,FALSE),IF(AB2="单",VLOOKUP($A$1,'换码设置'!$A:$C,3,FALSE),0))</f>
        <v/>
      </c>
      <c r="AC3" s="0">
        <f>MAX(0,ROWS(UNIQUE(FILTER($F7:$F9,(AC7:AC9&gt;0)*($F7:$F9&lt;&gt;""))))-1)*IF(AC2="双",VLOOKUP($A$1,'换码设置'!$A:$C,2,FALSE),IF(AC2="单",VLOOKUP($A$1,'换码设置'!$A:$C,3,FALSE),0))</f>
        <v/>
      </c>
      <c r="AD3" s="0">
        <f>MAX(0,ROWS(UNIQUE(FILTER($F7:$F9,(AD7:AD9&gt;0)*($F7:$F9&lt;&gt;""))))-1)*IF(AD2="双",VLOOKUP($A$1,'换码设置'!$A:$C,2,FALSE),IF(AD2="单",VLOOKUP($A$1,'换码设置'!$A:$C,3,FALSE),0))</f>
        <v/>
      </c>
      <c r="AE3" s="0">
        <f>MAX(0,ROWS(UNIQUE(FILTER($F7:$F9,(AE7:AE9&gt;0)*($F7:$F9&lt;&gt;""))))-1)*IF(AE2="双",VLOOKUP($A$1,'换码设置'!$A:$C,2,FALSE),IF(AE2="单",VLOOKUP($A$1,'换码设置'!$A:$C,3,FALSE),0))</f>
        <v/>
      </c>
      <c r="AF3" s="0">
        <f>MAX(0,ROWS(UNIQUE(FILTER($F7:$F9,(AF7:AF9&gt;0)*($F7:$F9&lt;&gt;""))))-1)*IF(AF2="双",VLOOKUP($A$1,'换码设置'!$A:$C,2,FALSE),IF(AF2="单",VLOOKUP($A$1,'换码设置'!$A:$C,3,FALSE),0))</f>
        <v/>
      </c>
      <c r="AG3" s="0">
        <f>MAX(0,ROWS(UNIQUE(FILTER($F7:$F9,(AG7:AG9&gt;0)*($F7:$F9&lt;&gt;""))))-1)*IF(AG2="双",VLOOKUP($A$1,'换码设置'!$A:$C,2,FALSE),IF(AG2="单",VLOOKUP($A$1,'换码设置'!$A:$C,3,FALSE),0))</f>
        <v/>
      </c>
      <c r="AH3" s="0">
        <f>MAX(0,ROWS(UNIQUE(FILTER($F7:$F9,(AH7:AH9&gt;0)*($F7:$F9&lt;&gt;""))))-1)*IF(AH2="双",VLOOKUP($A$1,'换码设置'!$A:$C,2,FALSE),IF(AH2="单",VLOOKUP($A$1,'换码设置'!$A:$C,3,FALSE),0))</f>
        <v/>
      </c>
      <c r="AI3" s="0">
        <f>MAX(0,ROWS(UNIQUE(FILTER($F7:$F9,(AI7:AI9&gt;0)*($F7:$F9&lt;&gt;""))))-1)*IF(AI2="双",VLOOKUP($A$1,'换码设置'!$A:$C,2,FALSE),IF(AI2="单",VLOOKUP($A$1,'换码设置'!$A:$C,3,FALSE),0))</f>
        <v/>
      </c>
      <c r="AJ3" s="0">
        <f>MAX(0,ROWS(UNIQUE(FILTER($F7:$F9,(AJ7:AJ9&gt;0)*($F7:$F9&lt;&gt;""))))-1)*IF(AJ2="双",VLOOKUP($A$1,'换码设置'!$A:$C,2,FALSE),IF(AJ2="单",VLOOKUP($A$1,'换码设置'!$A:$C,3,FALSE),0))</f>
        <v/>
      </c>
      <c r="AK3" s="0">
        <f>MAX(0,ROWS(UNIQUE(FILTER($F7:$F9,(AK7:AK9&gt;0)*($F7:$F9&lt;&gt;""))))-1)*IF(AK2="双",VLOOKUP($A$1,'换码设置'!$A:$C,2,FALSE),IF(AK2="单",VLOOKUP($A$1,'换码设置'!$A:$C,3,FALSE),0))</f>
        <v/>
      </c>
      <c r="AL3" s="0">
        <f>MAX(0,ROWS(UNIQUE(FILTER($F7:$F9,(AL7:AL9&gt;0)*($F7:$F9&lt;&gt;""))))-1)*IF(AL2="双",VLOOKUP($A$1,'换码设置'!$A:$C,2,FALSE),IF(AL2="单",VLOOKUP($A$1,'换码设置'!$A:$C,3,FALSE),0))</f>
        <v/>
      </c>
      <c r="AM3" s="0">
        <f>MAX(0,ROWS(UNIQUE(FILTER($F7:$F9,(AM7:AM9&gt;0)*($F7:$F9&lt;&gt;""))))-1)*IF(AM2="双",VLOOKUP($A$1,'换码设置'!$A:$C,2,FALSE),IF(AM2="单",VLOOKUP($A$1,'换码设置'!$A:$C,3,FALSE),0))</f>
        <v/>
      </c>
      <c r="AN3" s="0">
        <f>MAX(0,ROWS(UNIQUE(FILTER($F7:$F9,(AN7:AN9&gt;0)*($F7:$F9&lt;&gt;""))))-1)*IF(AN2="双",VLOOKUP($A$1,'换码设置'!$A:$C,2,FALSE),IF(AN2="单",VLOOKUP($A$1,'换码设置'!$A:$C,3,FALSE),0))</f>
        <v/>
      </c>
      <c r="AO3" s="0">
        <f>MAX(0,ROWS(UNIQUE(FILTER($F7:$F9,(AO7:AO9&gt;0)*($F7:$F9&lt;&gt;""))))-1)*IF(AO2="双",VLOOKUP($A$1,'换码设置'!$A:$C,2,FALSE),IF(AO2="单",VLOOKUP($A$1,'换码设置'!$A:$C,3,FALSE),0))</f>
        <v/>
      </c>
      <c r="AP3" s="0">
        <f>MAX(0,ROWS(UNIQUE(FILTER($F7:$F9,(AP7:AP9&gt;0)*($F7:$F9&lt;&gt;""))))-1)*IF(AP2="双",VLOOKUP($A$1,'换码设置'!$A:$C,2,FALSE),IF(AP2="单",VLOOKUP($A$1,'换码设置'!$A:$C,3,FALSE),0))</f>
        <v/>
      </c>
      <c r="AQ3" s="0">
        <f>MAX(0,ROWS(UNIQUE(FILTER($F7:$F9,(AQ7:AQ9&gt;0)*($F7:$F9&lt;&gt;""))))-1)*IF(AQ2="双",VLOOKUP($A$1,'换码设置'!$A:$C,2,FALSE),IF(AQ2="单",VLOOKUP($A$1,'换码设置'!$A:$C,3,FALSE),0))</f>
        <v/>
      </c>
      <c r="AR3" s="0">
        <f>MAX(0,ROWS(UNIQUE(FILTER($F7:$F9,(AR7:AR9&gt;0)*($F7:$F9&lt;&gt;""))))-1)*IF(AR2="双",VLOOKUP($A$1,'换码设置'!$A:$C,2,FALSE),IF(AR2="单",VLOOKUP($A$1,'换码设置'!$A:$C,3,FALSE),0))</f>
        <v/>
      </c>
      <c r="AS3" s="0">
        <f>MAX(0,ROWS(UNIQUE(FILTER($F7:$F9,(AS7:AS9&gt;0)*($F7:$F9&lt;&gt;""))))-1)*IF(AS2="双",VLOOKUP($A$1,'换码设置'!$A:$C,2,FALSE),IF(AS2="单",VLOOKUP($A$1,'换码设置'!$A:$C,3,FALSE),0))</f>
        <v/>
      </c>
      <c r="AT3" s="0">
        <f>MAX(0,ROWS(UNIQUE(FILTER($F7:$F9,(AT7:AT9&gt;0)*($F7:$F9&lt;&gt;""))))-1)*IF(AT2="双",VLOOKUP($A$1,'换码设置'!$A:$C,2,FALSE),IF(AT2="单",VLOOKUP($A$1,'换码设置'!$A:$C,3,FALSE),0))</f>
        <v/>
      </c>
      <c r="AU3" s="0">
        <f>MAX(0,ROWS(UNIQUE(FILTER($F7:$F9,(AU7:AU9&gt;0)*($F7:$F9&lt;&gt;""))))-1)*IF(AU2="双",VLOOKUP($A$1,'换码设置'!$A:$C,2,FALSE),IF(AU2="单",VLOOKUP($A$1,'换码设置'!$A:$C,3,FALSE),0))</f>
        <v/>
      </c>
      <c r="AV3" s="0">
        <f>MAX(0,ROWS(UNIQUE(FILTER($F7:$F9,(AV7:AV9&gt;0)*($F7:$F9&lt;&gt;""))))-1)*IF(AV2="双",VLOOKUP($A$1,'换码设置'!$A:$C,2,FALSE),IF(AV2="单",VLOOKUP($A$1,'换码设置'!$A:$C,3,FALSE),0))</f>
        <v/>
      </c>
      <c r="AW3" s="0">
        <f>MAX(0,ROWS(UNIQUE(FILTER($F7:$F9,(AW7:AW9&gt;0)*($F7:$F9&lt;&gt;""))))-1)*IF(AW2="双",VLOOKUP($A$1,'换码设置'!$A:$C,2,FALSE),IF(AW2="单",VLOOKUP($A$1,'换码设置'!$A:$C,3,FALSE),0))</f>
        <v/>
      </c>
      <c r="AX3" s="0">
        <f>MAX(0,ROWS(UNIQUE(FILTER($F7:$F9,(AX7:AX9&gt;0)*($F7:$F9&lt;&gt;""))))-1)*IF(AX2="双",VLOOKUP($A$1,'换码设置'!$A:$C,2,FALSE),IF(AX2="单",VLOOKUP($A$1,'换码设置'!$A:$C,3,FALSE),0))</f>
        <v/>
      </c>
      <c r="AY3" s="0">
        <f>MAX(0,ROWS(UNIQUE(FILTER($F7:$F9,(AY7:AY9&gt;0)*($F7:$F9&lt;&gt;""))))-1)*IF(AY2="双",VLOOKUP($A$1,'换码设置'!$A:$C,2,FALSE),IF(AY2="单",VLOOKUP($A$1,'换码设置'!$A:$C,3,FALSE),0))</f>
        <v/>
      </c>
      <c r="AZ3" s="0">
        <f>MAX(0,ROWS(UNIQUE(FILTER($F7:$F9,(AZ7:AZ9&gt;0)*($F7:$F9&lt;&gt;""))))-1)*IF(AZ2="双",VLOOKUP($A$1,'换码设置'!$A:$C,2,FALSE),IF(AZ2="单",VLOOKUP($A$1,'换码设置'!$A:$C,3,FALSE),0))</f>
        <v/>
      </c>
      <c r="BA3" s="0">
        <f>MAX(0,ROWS(UNIQUE(FILTER($F7:$F9,(BA7:BA9&gt;0)*($F7:$F9&lt;&gt;""))))-1)*IF(BA2="双",VLOOKUP($A$1,'换码设置'!$A:$C,2,FALSE),IF(BA2="单",VLOOKUP($A$1,'换码设置'!$A:$C,3,FALSE),0))</f>
        <v/>
      </c>
      <c r="BB3" s="0">
        <f>MAX(0,ROWS(UNIQUE(FILTER($F7:$F9,(BB7:BB9&gt;0)*($F7:$F9&lt;&gt;""))))-1)*IF(BB2="双",VLOOKUP($A$1,'换码设置'!$A:$C,2,FALSE),IF(BB2="单",VLOOKUP($A$1,'换码设置'!$A:$C,3,FALSE),0))</f>
        <v/>
      </c>
      <c r="BC3" s="0">
        <f>MAX(0,ROWS(UNIQUE(FILTER($F7:$F9,(BC7:BC9&gt;0)*($F7:$F9&lt;&gt;""))))-1)*IF(BC2="双",VLOOKUP($A$1,'换码设置'!$A:$C,2,FALSE),IF(BC2="单",VLOOKUP($A$1,'换码设置'!$A:$C,3,FALSE),0))</f>
        <v/>
      </c>
      <c r="BD3" s="0">
        <f>MAX(0,ROWS(UNIQUE(FILTER($F7:$F9,(BD7:BD9&gt;0)*($F7:$F9&lt;&gt;""))))-1)*IF(BD2="双",VLOOKUP($A$1,'换码设置'!$A:$C,2,FALSE),IF(BD2="单",VLOOKUP($A$1,'换码设置'!$A:$C,3,FALSE),0))</f>
        <v/>
      </c>
      <c r="BE3" s="0">
        <f>MAX(0,ROWS(UNIQUE(FILTER($F7:$F9,(BE7:BE9&gt;0)*($F7:$F9&lt;&gt;""))))-1)*IF(BE2="双",VLOOKUP($A$1,'换码设置'!$A:$C,2,FALSE),IF(BE2="单",VLOOKUP($A$1,'换码设置'!$A:$C,3,FALSE),0))</f>
        <v/>
      </c>
      <c r="BF3" s="0">
        <f>MAX(0,ROWS(UNIQUE(FILTER($F7:$F9,(BF7:BF9&gt;0)*($F7:$F9&lt;&gt;""))))-1)*IF(BF2="双",VLOOKUP($A$1,'换码设置'!$A:$C,2,FALSE),IF(BF2="单",VLOOKUP($A$1,'换码设置'!$A:$C,3,FALSE),0))</f>
        <v/>
      </c>
      <c r="BG3" s="0">
        <f>MAX(0,ROWS(UNIQUE(FILTER($F7:$F9,(BG7:BG9&gt;0)*($F7:$F9&lt;&gt;""))))-1)*IF(BG2="双",VLOOKUP($A$1,'换码设置'!$A:$C,2,FALSE),IF(BG2="单",VLOOKUP($A$1,'换码设置'!$A:$C,3,FALSE),0))</f>
        <v/>
      </c>
      <c r="BH3" s="0">
        <f>MAX(0,ROWS(UNIQUE(FILTER($F7:$F9,(BH7:BH9&gt;0)*($F7:$F9&lt;&gt;""))))-1)*IF(BH2="双",VLOOKUP($A$1,'换码设置'!$A:$C,2,FALSE),IF(BH2="单",VLOOKUP($A$1,'换码设置'!$A:$C,3,FALSE),0))</f>
        <v/>
      </c>
      <c r="BI3" s="0">
        <f>MAX(0,ROWS(UNIQUE(FILTER($F7:$F9,(BI7:BI9&gt;0)*($F7:$F9&lt;&gt;""))))-1)*IF(BI2="双",VLOOKUP($A$1,'换码设置'!$A:$C,2,FALSE),IF(BI2="单",VLOOKUP($A$1,'换码设置'!$A:$C,3,FALSE),0))</f>
        <v/>
      </c>
      <c r="BJ3" s="0">
        <f>MAX(0,ROWS(UNIQUE(FILTER($F7:$F9,(BJ7:BJ9&gt;0)*($F7:$F9&lt;&gt;""))))-1)*IF(BJ2="双",VLOOKUP($A$1,'换码设置'!$A:$C,2,FALSE),IF(BJ2="单",VLOOKUP($A$1,'换码设置'!$A:$C,3,FALSE),0))</f>
        <v/>
      </c>
      <c r="BK3" s="0">
        <f>MAX(0,ROWS(UNIQUE(FILTER($F7:$F9,(BK7:BK9&gt;0)*($F7:$F9&lt;&gt;""))))-1)*IF(BK2="双",VLOOKUP($A$1,'换码设置'!$A:$C,2,FALSE),IF(BK2="单",VLOOKUP($A$1,'换码设置'!$A:$C,3,FALSE),0))</f>
        <v/>
      </c>
      <c r="BL3" s="0">
        <f>MAX(0,ROWS(UNIQUE(FILTER($F7:$F9,(BL7:BL9&gt;0)*($F7:$F9&lt;&gt;""))))-1)*IF(BL2="双",VLOOKUP($A$1,'换码设置'!$A:$C,2,FALSE),IF(BL2="单",VLOOKUP($A$1,'换码设置'!$A:$C,3,FALSE),0))</f>
        <v/>
      </c>
      <c r="BM3" s="0">
        <f>MAX(0,ROWS(UNIQUE(FILTER($F7:$F9,(BM7:BM9&gt;0)*($F7:$F9&lt;&gt;""))))-1)*IF(BM2="双",VLOOKUP($A$1,'换码设置'!$A:$C,2,FALSE),IF(BM2="单",VLOOKUP($A$1,'换码设置'!$A:$C,3,FALSE),0))</f>
        <v/>
      </c>
      <c r="BN3" s="0">
        <f>MAX(0,ROWS(UNIQUE(FILTER($F7:$F9,(BN7:BN9&gt;0)*($F7:$F9&lt;&gt;""))))-1)*IF(BN2="双",VLOOKUP($A$1,'换码设置'!$A:$C,2,FALSE),IF(BN2="单",VLOOKUP($A$1,'换码设置'!$A:$C,3,FALSE),0))</f>
        <v/>
      </c>
      <c r="BO3" s="0">
        <f>MAX(0,ROWS(UNIQUE(FILTER($F7:$F9,(BO7:BO9&gt;0)*($F7:$F9&lt;&gt;""))))-1)*IF(BO2="双",VLOOKUP($A$1,'换码设置'!$A:$C,2,FALSE),IF(BO2="单",VLOOKUP($A$1,'换码设置'!$A:$C,3,FALSE),0))</f>
        <v/>
      </c>
      <c r="BP3" s="0">
        <f>MAX(0,ROWS(UNIQUE(FILTER($F7:$F9,(BP7:BP9&gt;0)*($F7:$F9&lt;&gt;""))))-1)*IF(BP2="双",VLOOKUP($A$1,'换码设置'!$A:$C,2,FALSE),IF(BP2="单",VLOOKUP($A$1,'换码设置'!$A:$C,3,FALSE),0))</f>
        <v/>
      </c>
      <c r="BQ3" s="0">
        <f>MAX(0,ROWS(UNIQUE(FILTER($F7:$F9,(BQ7:BQ9&gt;0)*($F7:$F9&lt;&gt;""))))-1)*IF(BQ2="双",VLOOKUP($A$1,'换码设置'!$A:$C,2,FALSE),IF(BQ2="单",VLOOKUP($A$1,'换码设置'!$A:$C,3,FALSE),0))</f>
        <v/>
      </c>
    </row>
    <row r="4" ht="17" customFormat="1" customHeight="1" s="101">
      <c r="K4" s="103" t="n"/>
      <c r="L4" s="5" t="inlineStr">
        <is>
          <t>5月排产计划</t>
        </is>
      </c>
      <c r="M4" s="108">
        <f>SUM(M5:AL5)</f>
        <v/>
      </c>
      <c r="N4" s="109" t="n">
        <v>46148</v>
      </c>
      <c r="O4" s="109" t="n">
        <v>46149</v>
      </c>
      <c r="P4" s="109" t="n">
        <v>46150</v>
      </c>
      <c r="Q4" s="109" t="n">
        <v>46151</v>
      </c>
      <c r="R4" s="109" t="n">
        <v>46152</v>
      </c>
      <c r="S4" s="109" t="n">
        <v>46153</v>
      </c>
      <c r="T4" s="109" t="n">
        <v>46154</v>
      </c>
      <c r="U4" s="109" t="n">
        <v>46155</v>
      </c>
      <c r="V4" s="109" t="n">
        <v>46156</v>
      </c>
      <c r="W4" s="109" t="n">
        <v>46157</v>
      </c>
      <c r="X4" s="109" t="n">
        <v>46158</v>
      </c>
      <c r="Y4" s="109" t="n">
        <v>46159</v>
      </c>
      <c r="Z4" s="109" t="n">
        <v>46160</v>
      </c>
      <c r="AA4" s="109" t="n">
        <v>46161</v>
      </c>
      <c r="AB4" s="109" t="n">
        <v>46162</v>
      </c>
      <c r="AC4" s="109" t="n">
        <v>46163</v>
      </c>
      <c r="AD4" s="109" t="n">
        <v>46164</v>
      </c>
      <c r="AE4" s="109" t="n">
        <v>46165</v>
      </c>
      <c r="AF4" s="109" t="n">
        <v>46166</v>
      </c>
      <c r="AG4" s="109" t="n">
        <v>46167</v>
      </c>
      <c r="AH4" s="109" t="n">
        <v>46168</v>
      </c>
      <c r="AI4" s="109" t="n">
        <v>46169</v>
      </c>
      <c r="AJ4" s="109" t="n">
        <v>46170</v>
      </c>
      <c r="AK4" s="109" t="n">
        <v>46171</v>
      </c>
      <c r="AL4" s="109" t="n">
        <v>46172</v>
      </c>
      <c r="AM4" s="109" t="n">
        <v>46173</v>
      </c>
      <c r="AN4" s="109" t="n">
        <v>46174</v>
      </c>
      <c r="AO4" s="109" t="n">
        <v>46175</v>
      </c>
      <c r="AP4" s="109" t="n">
        <v>46176</v>
      </c>
      <c r="AQ4" s="109" t="n">
        <v>46177</v>
      </c>
      <c r="AR4" s="109" t="n">
        <v>46178</v>
      </c>
      <c r="AS4" s="109" t="n">
        <v>46179</v>
      </c>
      <c r="AT4" s="109" t="n">
        <v>46180</v>
      </c>
      <c r="AU4" s="109" t="n">
        <v>46181</v>
      </c>
      <c r="AV4" s="109" t="n">
        <v>46182</v>
      </c>
      <c r="AW4" s="109" t="n">
        <v>46183</v>
      </c>
      <c r="AX4" s="109" t="n">
        <v>46184</v>
      </c>
      <c r="AY4" s="109" t="n">
        <v>46185</v>
      </c>
      <c r="AZ4" s="109" t="n">
        <v>46186</v>
      </c>
      <c r="BA4" s="109" t="n">
        <v>46187</v>
      </c>
      <c r="BB4" s="109" t="n">
        <v>46188</v>
      </c>
      <c r="BC4" s="109" t="n">
        <v>46189</v>
      </c>
      <c r="BD4" s="109" t="n">
        <v>46190</v>
      </c>
      <c r="BE4" s="109" t="n">
        <v>46191</v>
      </c>
      <c r="BF4" s="109" t="n">
        <v>46192</v>
      </c>
      <c r="BG4" s="109" t="n">
        <v>46193</v>
      </c>
      <c r="BH4" s="109" t="n">
        <v>46194</v>
      </c>
      <c r="BI4" s="109" t="n">
        <v>46195</v>
      </c>
      <c r="BJ4" s="109" t="n">
        <v>46196</v>
      </c>
      <c r="BK4" s="109" t="n">
        <v>46197</v>
      </c>
      <c r="BL4" s="109" t="n">
        <v>46198</v>
      </c>
      <c r="BM4" s="109" t="n">
        <v>46199</v>
      </c>
      <c r="BN4" s="109" t="n">
        <v>46200</v>
      </c>
      <c r="BO4" s="109" t="n">
        <v>46201</v>
      </c>
      <c r="BP4" s="109" t="n">
        <v>46202</v>
      </c>
      <c r="BQ4" s="109" t="n">
        <v>46203</v>
      </c>
    </row>
    <row r="5" ht="15.5" customFormat="1" customHeight="1" s="101">
      <c r="G5" s="101" t="n"/>
      <c r="J5" s="95" t="n"/>
      <c r="K5" s="96" t="n"/>
      <c r="L5" s="5" t="inlineStr">
        <is>
          <t>目前总共订单</t>
        </is>
      </c>
      <c r="M5" s="110">
        <f>SUM(L1:L3)</f>
        <v/>
      </c>
      <c r="N5" s="10">
        <f>IF(N2="单",$K$1,IF(N2="双",$K$2,0))-N3-N6</f>
        <v/>
      </c>
      <c r="O5" s="10">
        <f>IF(O2="单",$K$1,IF(O2="双",$K$2,0))-O3-O6</f>
        <v/>
      </c>
      <c r="P5" s="10">
        <f>IF(P2="单",$K$1,IF(P2="双",$K$2,0))-P3-P6</f>
        <v/>
      </c>
      <c r="Q5" s="10">
        <f>IF(Q2="单",$K$1,IF(Q2="双",$K$2,0))-Q3-Q6</f>
        <v/>
      </c>
      <c r="R5" s="10">
        <f>IF(R2="单",$K$1,IF(R2="双",$K$2,0))-R3-R6</f>
        <v/>
      </c>
      <c r="S5" s="10">
        <f>IF(S2="单",$K$1,IF(S2="双",$K$2,0))-S3-S6</f>
        <v/>
      </c>
      <c r="T5" s="10">
        <f>IF(T2="单",$K$1,IF(T2="双",$K$2,0))-T3-T6</f>
        <v/>
      </c>
      <c r="U5" s="10">
        <f>IF(U2="单",$K$1,IF(U2="双",$K$2,0))-U3-U6</f>
        <v/>
      </c>
      <c r="V5" s="10">
        <f>IF(V2="单",$K$1,IF(V2="双",$K$2,0))-V3-V6</f>
        <v/>
      </c>
      <c r="W5" s="10">
        <f>IF(W2="单",$K$1,IF(W2="双",$K$2,0))-W3-W6</f>
        <v/>
      </c>
      <c r="X5" s="10">
        <f>IF(X2="单",$K$1,IF(X2="双",$K$2,0))-X3-X6</f>
        <v/>
      </c>
      <c r="Y5" s="10">
        <f>IF(Y2="单",$K$1,IF(Y2="双",$K$2,0))-Y3-Y6</f>
        <v/>
      </c>
      <c r="Z5" s="10">
        <f>IF(Z2="单",$K$1,IF(Z2="双",$K$2,0))-Z3-Z6</f>
        <v/>
      </c>
      <c r="AA5" s="10">
        <f>IF(AA2="单",$K$1,IF(AA2="双",$K$2,0))-AA3-AA6</f>
        <v/>
      </c>
      <c r="AB5" s="10">
        <f>IF(AB2="单",$K$1,IF(AB2="双",$K$2,0))-AB3-AB6</f>
        <v/>
      </c>
      <c r="AC5" s="10">
        <f>IF(AC2="单",$K$1,IF(AC2="双",$K$2,0))-AC3-AC6</f>
        <v/>
      </c>
      <c r="AD5" s="10">
        <f>IF(AD2="单",$K$1,IF(AD2="双",$K$2,0))-AD3-AD6</f>
        <v/>
      </c>
      <c r="AE5" s="10">
        <f>IF(AE2="单",$K$1,IF(AE2="双",$K$2,0))-AE3-AE6</f>
        <v/>
      </c>
      <c r="AF5" s="10">
        <f>IF(AF2="单",$K$1,IF(AF2="双",$K$2,0))-AF3-AF6</f>
        <v/>
      </c>
      <c r="AG5" s="10">
        <f>IF(AG2="单",$K$1,IF(AG2="双",$K$2,0))-AG3-AG6</f>
        <v/>
      </c>
      <c r="AH5" s="10">
        <f>IF(AH2="单",$K$1,IF(AH2="双",$K$2,0))-AH3-AH6</f>
        <v/>
      </c>
      <c r="AI5" s="10">
        <f>IF(AI2="单",$K$1,IF(AI2="双",$K$2,0))-AI3-AI6</f>
        <v/>
      </c>
      <c r="AJ5" s="10">
        <f>IF(AJ2="单",$K$1,IF(AJ2="双",$K$2,0))-AJ3-AJ6</f>
        <v/>
      </c>
      <c r="AK5" s="10">
        <f>IF(AK2="单",$K$1,IF(AK2="双",$K$2,0))-AK3-AK6</f>
        <v/>
      </c>
      <c r="AL5" s="10">
        <f>IF(AL2="单",$K$1,IF(AL2="双",$K$2,0))-AL3-AL6</f>
        <v/>
      </c>
      <c r="AM5" s="10">
        <f>IF(AM2="单",$K$1,IF(AM2="双",$K$2,0))-AM3-AM6</f>
        <v/>
      </c>
      <c r="AN5" s="10">
        <f>IF(AN2="单",$K$1,IF(AN2="双",$K$2,0))-AN3-AN6</f>
        <v/>
      </c>
      <c r="AO5" s="10">
        <f>IF(AO2="单",$K$1,IF(AO2="双",$K$2,0))-AO3-AO6</f>
        <v/>
      </c>
      <c r="AP5" s="10">
        <f>IF(AP2="单",$K$1,IF(AP2="双",$K$2,0))-AP3-AP6</f>
        <v/>
      </c>
      <c r="AQ5" s="10">
        <f>IF(AQ2="单",$K$1,IF(AQ2="双",$K$2,0))-AQ3-AQ6</f>
        <v/>
      </c>
      <c r="AR5" s="10">
        <f>IF(AR2="单",$K$1,IF(AR2="双",$K$2,0))-AR3-AR6</f>
        <v/>
      </c>
      <c r="AS5" s="10">
        <f>IF(AS2="单",$K$1,IF(AS2="双",$K$2,0))-AS3-AS6</f>
        <v/>
      </c>
      <c r="AT5" s="10">
        <f>IF(AT2="单",$K$1,IF(AT2="双",$K$2,0))-AT3-AT6</f>
        <v/>
      </c>
      <c r="AU5" s="10">
        <f>IF(AU2="单",$K$1,IF(AU2="双",$K$2,0))-AU3-AU6</f>
        <v/>
      </c>
      <c r="AV5" s="10">
        <f>IF(AV2="单",$K$1,IF(AV2="双",$K$2,0))-AV3-AV6</f>
        <v/>
      </c>
      <c r="AW5" s="10">
        <f>IF(AW2="单",$K$1,IF(AW2="双",$K$2,0))-AW3-AW6</f>
        <v/>
      </c>
      <c r="AX5" s="10">
        <f>IF(AX2="单",$K$1,IF(AX2="双",$K$2,0))-AX3-AX6</f>
        <v/>
      </c>
      <c r="AY5" s="10">
        <f>IF(AY2="单",$K$1,IF(AY2="双",$K$2,0))-AY3-AY6</f>
        <v/>
      </c>
      <c r="AZ5" s="10">
        <f>IF(AZ2="单",$K$1,IF(AZ2="双",$K$2,0))-AZ3-AZ6</f>
        <v/>
      </c>
      <c r="BA5" s="10">
        <f>IF(BA2="单",$K$1,IF(BA2="双",$K$2,0))-BA3-BA6</f>
        <v/>
      </c>
      <c r="BB5" s="10">
        <f>IF(BB2="单",$K$1,IF(BB2="双",$K$2,0))-BB3-BB6</f>
        <v/>
      </c>
      <c r="BC5" s="10">
        <f>IF(BC2="单",$K$1,IF(BC2="双",$K$2,0))-BC3-BC6</f>
        <v/>
      </c>
      <c r="BD5" s="10">
        <f>IF(BD2="单",$K$1,IF(BD2="双",$K$2,0))-BD3-BD6</f>
        <v/>
      </c>
      <c r="BE5" s="10">
        <f>IF(BE2="单",$K$1,IF(BE2="双",$K$2,0))-BE3-BE6</f>
        <v/>
      </c>
      <c r="BF5" s="10">
        <f>IF(BF2="单",$K$1,IF(BF2="双",$K$2,0))-BF3-BF6</f>
        <v/>
      </c>
      <c r="BG5" s="10">
        <f>IF(BG2="单",$K$1,IF(BG2="双",$K$2,0))-BG3-BG6</f>
        <v/>
      </c>
      <c r="BH5" s="10">
        <f>IF(BH2="单",$K$1,IF(BH2="双",$K$2,0))-BH3-BH6</f>
        <v/>
      </c>
      <c r="BI5" s="10">
        <f>IF(BI2="单",$K$1,IF(BI2="双",$K$2,0))-BI3-BI6</f>
        <v/>
      </c>
      <c r="BJ5" s="10">
        <f>IF(BJ2="单",$K$1,IF(BJ2="双",$K$2,0))-BJ3-BJ6</f>
        <v/>
      </c>
      <c r="BK5" s="10">
        <f>IF(BK2="单",$K$1,IF(BK2="双",$K$2,0))-BK3-BK6</f>
        <v/>
      </c>
      <c r="BL5" s="10">
        <f>IF(BL2="单",$K$1,IF(BL2="双",$K$2,0))-BL3-BL6</f>
        <v/>
      </c>
      <c r="BM5" s="10">
        <f>IF(BM2="单",$K$1,IF(BM2="双",$K$2,0))-BM3-BM6</f>
        <v/>
      </c>
      <c r="BN5" s="10">
        <f>IF(BN2="单",$K$1,IF(BN2="双",$K$2,0))-BN3-BN6</f>
        <v/>
      </c>
      <c r="BO5" s="10">
        <f>IF(BO2="单",$K$1,IF(BO2="双",$K$2,0))-BO3-BO6</f>
        <v/>
      </c>
      <c r="BP5" s="10">
        <f>IF(BP2="单",$K$1,IF(BP2="双",$K$2,0))-BP3-BP6</f>
        <v/>
      </c>
      <c r="BQ5" s="10">
        <f>IF(BQ2="单",$K$1,IF(BQ2="双",$K$2,0))-BQ3-BQ6</f>
        <v/>
      </c>
    </row>
    <row r="6" ht="15.5" customHeight="1" s="91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t="inlineStr">
        <is>
          <t>尺码</t>
        </is>
      </c>
      <c r="G6" s="97" t="inlineStr">
        <is>
          <t>规格(p*b*z)</t>
        </is>
      </c>
      <c r="H6" s="98" t="n"/>
      <c r="I6" s="111" t="inlineStr">
        <is>
          <t>下单时间</t>
        </is>
      </c>
      <c r="J6" s="112" t="inlineStr">
        <is>
          <t>最晚交货时间</t>
        </is>
      </c>
      <c r="K6" s="15" t="inlineStr">
        <is>
          <t>下单箱数</t>
        </is>
      </c>
      <c r="L6" s="16" t="inlineStr">
        <is>
          <t>下单片数</t>
        </is>
      </c>
      <c r="M6" s="17" t="inlineStr">
        <is>
          <t>剩余排产</t>
        </is>
      </c>
      <c r="N6" s="17">
        <f>SUMPRODUCT($G7:$G9964,$H7:$H9964,N$7:N$9964)</f>
        <v/>
      </c>
      <c r="O6" s="17">
        <f>SUMPRODUCT($G7:$G9964,$H7:$H9964,O$7:O$9964)</f>
        <v/>
      </c>
      <c r="P6" s="17">
        <f>SUMPRODUCT($G7:$G9964,$H7:$H9964,P$7:P$9964)</f>
        <v/>
      </c>
      <c r="Q6" s="17">
        <f>SUMPRODUCT($G7:$G9964,$H7:$H9964,Q$7:Q$9964)</f>
        <v/>
      </c>
      <c r="R6" s="17">
        <f>SUMPRODUCT($G7:$G9964,$H7:$H9964,R$7:R$9964)</f>
        <v/>
      </c>
      <c r="S6" s="17">
        <f>SUMPRODUCT($G7:$G9964,$H7:$H9964,S$7:S$9964)</f>
        <v/>
      </c>
      <c r="T6" s="17">
        <f>SUMPRODUCT($G7:$G9964,$H7:$H9964,T$7:T$9964)</f>
        <v/>
      </c>
      <c r="U6" s="17">
        <f>SUMPRODUCT($G7:$G9964,$H7:$H9964,U$7:U$9964)</f>
        <v/>
      </c>
      <c r="V6" s="17">
        <f>SUMPRODUCT($G7:$G9964,$H7:$H9964,V$7:V$9964)</f>
        <v/>
      </c>
      <c r="W6" s="17">
        <f>SUMPRODUCT($G7:$G9964,$H7:$H9964,W$7:W$9964)</f>
        <v/>
      </c>
      <c r="X6" s="17">
        <f>SUMPRODUCT($G7:$G9964,$H7:$H9964,X$7:X$9964)</f>
        <v/>
      </c>
      <c r="Y6" s="17">
        <f>SUMPRODUCT($G7:$G9964,$H7:$H9964,Y$7:Y$9964)</f>
        <v/>
      </c>
      <c r="Z6" s="17">
        <f>SUMPRODUCT($G7:$G9964,$H7:$H9964,Z$7:Z$9964)</f>
        <v/>
      </c>
      <c r="AA6" s="17">
        <f>SUMPRODUCT($G7:$G9964,$H7:$H9964,AA$7:AA$9964)</f>
        <v/>
      </c>
      <c r="AB6" s="17">
        <f>SUMPRODUCT($G7:$G9964,$H7:$H9964,AB$7:AB$9964)</f>
        <v/>
      </c>
      <c r="AC6" s="17">
        <f>SUMPRODUCT($G7:$G9964,$H7:$H9964,AC$7:AC$9964)</f>
        <v/>
      </c>
      <c r="AD6" s="17">
        <f>SUMPRODUCT($G7:$G9964,$H7:$H9964,AD$7:AD$9964)</f>
        <v/>
      </c>
      <c r="AE6" s="17">
        <f>SUMPRODUCT($G7:$G9964,$H7:$H9964,AE$7:AE$9964)</f>
        <v/>
      </c>
      <c r="AF6" s="17">
        <f>SUMPRODUCT($G7:$G9964,$H7:$H9964,AF$7:AF$9964)</f>
        <v/>
      </c>
      <c r="AG6" s="17">
        <f>SUMPRODUCT($G7:$G9964,$H7:$H9964,AG$7:AG$9964)</f>
        <v/>
      </c>
      <c r="AH6" s="17">
        <f>SUMPRODUCT($G7:$G9964,$H7:$H9964,AH$7:AH$9964)</f>
        <v/>
      </c>
      <c r="AI6" s="17">
        <f>SUMPRODUCT($G7:$G9964,$H7:$H9964,AI$7:AI$9964)</f>
        <v/>
      </c>
      <c r="AJ6" s="17">
        <f>SUMPRODUCT($G7:$G9964,$H7:$H9964,AJ$7:AJ$9964)</f>
        <v/>
      </c>
      <c r="AK6" s="17">
        <f>SUMPRODUCT($G7:$G9964,$H7:$H9964,AK$7:AK$9964)</f>
        <v/>
      </c>
      <c r="AL6" s="17">
        <f>SUMPRODUCT($G7:$G9964,$H7:$H9964,AL$7:AL$9964)</f>
        <v/>
      </c>
      <c r="AM6" s="17">
        <f>SUMPRODUCT($G7:$G9964,$H7:$H9964,AM$7:AM$9964)</f>
        <v/>
      </c>
      <c r="AN6" s="17">
        <f>SUMPRODUCT($G7:$G9964,$H7:$H9964,AN$7:AN$9964)</f>
        <v/>
      </c>
      <c r="AO6" s="17">
        <f>SUMPRODUCT($G7:$G9964,$H7:$H9964,AO$7:AO$9964)</f>
        <v/>
      </c>
      <c r="AP6" s="17">
        <f>SUMPRODUCT($G7:$G9964,$H7:$H9964,AP$7:AP$9964)</f>
        <v/>
      </c>
      <c r="AQ6" s="17">
        <f>SUMPRODUCT($G7:$G9964,$H7:$H9964,AQ$7:AQ$9964)</f>
        <v/>
      </c>
      <c r="AR6" s="17">
        <f>SUMPRODUCT($G7:$G9964,$H7:$H9964,AR$7:AR$9964)</f>
        <v/>
      </c>
      <c r="AS6" s="17">
        <f>SUMPRODUCT($G7:$G9964,$H7:$H9964,AS$7:AS$9964)</f>
        <v/>
      </c>
      <c r="AT6" s="17">
        <f>SUMPRODUCT($G7:$G9964,$H7:$H9964,AT$7:AT$9964)</f>
        <v/>
      </c>
      <c r="AU6" s="17">
        <f>SUMPRODUCT($G7:$G9964,$H7:$H9964,AU$7:AU$9964)</f>
        <v/>
      </c>
      <c r="AV6" s="17">
        <f>SUMPRODUCT($G7:$G9964,$H7:$H9964,AV$7:AV$9964)</f>
        <v/>
      </c>
      <c r="AW6" s="17">
        <f>SUMPRODUCT($G7:$G9964,$H7:$H9964,AW$7:AW$9964)</f>
        <v/>
      </c>
      <c r="AX6" s="17">
        <f>SUMPRODUCT($G7:$G9964,$H7:$H9964,AX$7:AX$9964)</f>
        <v/>
      </c>
      <c r="AY6" s="17">
        <f>SUMPRODUCT($G7:$G9964,$H7:$H9964,AY$7:AY$9964)</f>
        <v/>
      </c>
      <c r="AZ6" s="17">
        <f>SUMPRODUCT($G7:$G9964,$H7:$H9964,AZ$7:AZ$9964)</f>
        <v/>
      </c>
      <c r="BA6" s="17">
        <f>SUMPRODUCT($G7:$G9964,$H7:$H9964,BA$7:BA$9964)</f>
        <v/>
      </c>
      <c r="BB6" s="17">
        <f>SUMPRODUCT($G7:$G9964,$H7:$H9964,BB$7:BB$9964)</f>
        <v/>
      </c>
      <c r="BC6" s="17">
        <f>SUMPRODUCT($G7:$G9964,$H7:$H9964,BC$7:BC$9964)</f>
        <v/>
      </c>
      <c r="BD6" s="17">
        <f>SUMPRODUCT($G7:$G9964,$H7:$H9964,BD$7:BD$9964)</f>
        <v/>
      </c>
      <c r="BE6" s="17">
        <f>SUMPRODUCT($G7:$G9964,$H7:$H9964,BE$7:BE$9964)</f>
        <v/>
      </c>
      <c r="BF6" s="17">
        <f>SUMPRODUCT($G7:$G9964,$H7:$H9964,BF$7:BF$9964)</f>
        <v/>
      </c>
      <c r="BG6" s="17">
        <f>SUMPRODUCT($G7:$G9964,$H7:$H9964,BG$7:BG$9964)</f>
        <v/>
      </c>
      <c r="BH6" s="17">
        <f>SUMPRODUCT($G7:$G9964,$H7:$H9964,BH$7:BH$9964)</f>
        <v/>
      </c>
      <c r="BI6" s="17">
        <f>SUMPRODUCT($G7:$G9964,$H7:$H9964,BI$7:BI$9964)</f>
        <v/>
      </c>
      <c r="BJ6" s="17">
        <f>SUMPRODUCT($G7:$G9964,$H7:$H9964,BJ$7:BJ$9964)</f>
        <v/>
      </c>
      <c r="BK6" s="17">
        <f>SUMPRODUCT($G7:$G9964,$H7:$H9964,BK$7:BK$9964)</f>
        <v/>
      </c>
      <c r="BL6" s="17">
        <f>SUMPRODUCT($G7:$G9964,$H7:$H9964,BL$7:BL$9964)</f>
        <v/>
      </c>
      <c r="BM6" s="17">
        <f>SUMPRODUCT($G7:$G9964,$H7:$H9964,BM$7:BM$9964)</f>
        <v/>
      </c>
      <c r="BN6" s="17">
        <f>SUMPRODUCT($G7:$G9964,$H7:$H9964,BN$7:BN$9964)</f>
        <v/>
      </c>
      <c r="BO6" s="17">
        <f>SUMPRODUCT($G7:$G9964,$H7:$H9964,BO$7:BO$9964)</f>
        <v/>
      </c>
      <c r="BP6" s="17">
        <f>SUMPRODUCT($G7:$G9964,$H7:$H9964,BP$7:BP$9964)</f>
        <v/>
      </c>
      <c r="BQ6" s="17">
        <f>SUMPRODUCT($G7:$G9964,$H7:$H9964,BQ$7:BQ$9964)</f>
        <v/>
      </c>
    </row>
    <row r="7" ht="15.5" customHeight="1" s="91">
      <c r="A7" s="19" t="inlineStr">
        <is>
          <t>1.4.19.003</t>
        </is>
      </c>
      <c r="B7" s="19" t="n"/>
      <c r="C7" s="19" t="inlineStr">
        <is>
          <t>CR253081</t>
        </is>
      </c>
      <c r="D7" s="25" t="inlineStr">
        <is>
          <t>WO-ZZ00020319</t>
        </is>
      </c>
      <c r="E7" s="21" t="inlineStr">
        <is>
          <t>LA FRESH 卫生护垫60片装(CU001692)</t>
        </is>
      </c>
      <c r="G7" s="19" t="n">
        <v>60</v>
      </c>
      <c r="H7" s="19" t="n">
        <v>12</v>
      </c>
      <c r="I7" s="116" t="n">
        <v>45909</v>
      </c>
      <c r="J7" s="116" t="n">
        <v>46143</v>
      </c>
      <c r="K7" s="19" t="n">
        <v>4315</v>
      </c>
      <c r="L7" s="19">
        <f>F6*G6*J6</f>
        <v/>
      </c>
      <c r="M7" s="19" t="n">
        <v>0</v>
      </c>
      <c r="N7" s="28" t="n">
        <v>1389</v>
      </c>
      <c r="O7" s="28" t="n">
        <v>1389</v>
      </c>
      <c r="P7" s="28" t="n">
        <v>1389</v>
      </c>
      <c r="Q7" s="28" t="n">
        <v>148</v>
      </c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  <c r="AA7" s="28" t="n"/>
      <c r="AB7" s="28" t="n"/>
      <c r="AC7" s="28" t="n"/>
      <c r="AD7" s="28" t="n"/>
      <c r="AE7" s="28" t="n"/>
      <c r="AF7" s="28" t="n"/>
      <c r="AG7" s="28" t="n"/>
      <c r="AH7" s="28" t="n"/>
      <c r="AI7" s="28" t="n"/>
      <c r="AJ7" s="28" t="n"/>
      <c r="AK7" s="28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  <c r="BP7" s="28" t="n"/>
      <c r="BQ7" s="28" t="n"/>
    </row>
    <row r="8" ht="15.5" customHeight="1" s="91">
      <c r="A8" s="19" t="inlineStr">
        <is>
          <t>1.4.19.003</t>
        </is>
      </c>
      <c r="B8" s="19" t="n"/>
      <c r="C8" s="19" t="inlineStr">
        <is>
          <t>CR253066</t>
        </is>
      </c>
      <c r="D8" s="25" t="inlineStr">
        <is>
          <t>WO-ZZ00020317</t>
        </is>
      </c>
      <c r="E8" s="21" t="inlineStr">
        <is>
          <t>LA FRESH 卫生护垫60片装(CU001692)</t>
        </is>
      </c>
      <c r="G8" s="19" t="n">
        <v>60</v>
      </c>
      <c r="H8" s="19" t="n">
        <v>12</v>
      </c>
      <c r="I8" s="116" t="n">
        <v>45909</v>
      </c>
      <c r="J8" s="116" t="n">
        <v>46153</v>
      </c>
      <c r="K8" s="19" t="n">
        <v>4184</v>
      </c>
      <c r="L8" s="19">
        <f>F7*G7*J7</f>
        <v/>
      </c>
      <c r="M8" s="19" t="n">
        <v>0</v>
      </c>
      <c r="N8" s="28" t="n"/>
      <c r="O8" s="28" t="n"/>
      <c r="P8" s="28" t="n"/>
      <c r="Q8" s="28" t="n">
        <v>1241</v>
      </c>
      <c r="R8" s="28" t="n"/>
      <c r="S8" s="28" t="n">
        <v>1389</v>
      </c>
      <c r="T8" s="28" t="n">
        <v>1389</v>
      </c>
      <c r="U8" s="28" t="n">
        <v>165</v>
      </c>
      <c r="V8" s="28" t="n"/>
      <c r="W8" s="28" t="n"/>
      <c r="X8" s="28" t="n"/>
      <c r="Y8" s="28" t="n"/>
      <c r="Z8" s="28" t="n"/>
      <c r="AA8" s="28" t="n"/>
      <c r="AB8" s="28" t="n"/>
      <c r="AC8" s="28" t="n"/>
      <c r="AD8" s="28" t="n"/>
      <c r="AE8" s="28" t="n"/>
      <c r="AF8" s="28" t="n"/>
      <c r="AG8" s="28" t="n"/>
      <c r="AH8" s="28" t="n"/>
      <c r="AI8" s="28" t="n"/>
      <c r="AJ8" s="28" t="n"/>
      <c r="AK8" s="28" t="n"/>
      <c r="AL8" s="28" t="n"/>
      <c r="AM8" s="28" t="n"/>
      <c r="AN8" s="28" t="n"/>
      <c r="AO8" s="28" t="n"/>
      <c r="AP8" s="28" t="n"/>
      <c r="AQ8" s="28" t="n"/>
      <c r="AR8" s="28" t="n"/>
      <c r="AS8" s="28" t="n"/>
      <c r="AT8" s="28" t="n"/>
      <c r="AU8" s="28" t="n"/>
      <c r="AV8" s="28" t="n"/>
      <c r="AW8" s="28" t="n"/>
      <c r="AX8" s="28" t="n"/>
      <c r="AY8" s="28" t="n"/>
      <c r="AZ8" s="28" t="n"/>
      <c r="BA8" s="28" t="n"/>
      <c r="BB8" s="28" t="n"/>
      <c r="BC8" s="28" t="n"/>
      <c r="BD8" s="28" t="n"/>
      <c r="BE8" s="28" t="n"/>
      <c r="BF8" s="28" t="n"/>
      <c r="BG8" s="28" t="n"/>
      <c r="BH8" s="28" t="n"/>
      <c r="BI8" s="28" t="n"/>
      <c r="BJ8" s="28" t="n"/>
      <c r="BK8" s="28" t="n"/>
      <c r="BL8" s="28" t="n"/>
      <c r="BM8" s="28" t="n"/>
      <c r="BN8" s="28" t="n"/>
      <c r="BO8" s="28" t="n"/>
      <c r="BP8" s="28" t="n"/>
      <c r="BQ8" s="28" t="n"/>
    </row>
    <row r="9" ht="17" customHeight="1" s="91">
      <c r="A9" s="19" t="inlineStr">
        <is>
          <t>1.4.19.003</t>
        </is>
      </c>
      <c r="B9" s="19" t="n"/>
      <c r="C9" s="19" t="inlineStr">
        <is>
          <t>CR253073</t>
        </is>
      </c>
      <c r="D9" s="25" t="inlineStr">
        <is>
          <t>WO-ZZ00020318</t>
        </is>
      </c>
      <c r="E9" s="21" t="inlineStr">
        <is>
          <t>LA FRESH 卫生护垫60片装(CU001692)</t>
        </is>
      </c>
      <c r="G9" s="19" t="n">
        <v>60</v>
      </c>
      <c r="H9" s="19" t="n">
        <v>12</v>
      </c>
      <c r="I9" s="116" t="n">
        <v>45909</v>
      </c>
      <c r="J9" s="116" t="n">
        <v>46153</v>
      </c>
      <c r="K9" s="19" t="n">
        <v>1627</v>
      </c>
      <c r="L9" s="19">
        <f>F8*G8*J8</f>
        <v/>
      </c>
      <c r="M9" s="19" t="n">
        <v>0</v>
      </c>
      <c r="N9" s="28" t="n"/>
      <c r="O9" s="28" t="n"/>
      <c r="P9" s="28" t="n"/>
      <c r="Q9" s="28" t="n"/>
      <c r="R9" s="28" t="n"/>
      <c r="S9" s="28" t="n"/>
      <c r="T9" s="28" t="n"/>
      <c r="U9" s="28" t="n">
        <v>1224</v>
      </c>
      <c r="V9" s="28" t="n">
        <v>403</v>
      </c>
      <c r="W9" s="28" t="n"/>
      <c r="X9" s="28" t="n"/>
      <c r="Y9" s="28" t="n"/>
      <c r="Z9" s="28" t="n"/>
      <c r="AA9" s="28" t="n"/>
      <c r="AB9" s="28" t="n"/>
      <c r="AC9" s="28" t="n"/>
      <c r="AD9" s="28" t="n"/>
      <c r="AE9" s="28" t="n"/>
      <c r="AF9" s="28" t="n"/>
      <c r="AG9" s="28" t="n"/>
      <c r="AH9" s="28" t="n"/>
      <c r="AI9" s="28" t="n"/>
      <c r="AJ9" s="28" t="n"/>
      <c r="AK9" s="28" t="n"/>
      <c r="AL9" s="28" t="n"/>
      <c r="AM9" s="28" t="n"/>
      <c r="AN9" s="28" t="n"/>
      <c r="AO9" s="28" t="n"/>
      <c r="AP9" s="28" t="n"/>
      <c r="AQ9" s="28" t="n"/>
      <c r="AR9" s="28" t="n"/>
      <c r="AS9" s="28" t="n"/>
      <c r="AT9" s="28" t="n"/>
      <c r="AU9" s="28" t="n"/>
      <c r="AV9" s="28" t="n"/>
      <c r="AW9" s="28" t="n"/>
      <c r="AX9" s="28" t="n"/>
      <c r="AY9" s="28" t="n"/>
      <c r="AZ9" s="28" t="n"/>
      <c r="BA9" s="28" t="n"/>
      <c r="BB9" s="28" t="n"/>
      <c r="BC9" s="28" t="n"/>
      <c r="BD9" s="28" t="n"/>
      <c r="BE9" s="28" t="n"/>
      <c r="BF9" s="28" t="n"/>
      <c r="BG9" s="28" t="n"/>
      <c r="BH9" s="28" t="n"/>
      <c r="BI9" s="28" t="n"/>
      <c r="BJ9" s="28" t="n"/>
      <c r="BK9" s="28" t="n"/>
      <c r="BL9" s="28" t="n"/>
      <c r="BM9" s="28" t="n"/>
      <c r="BN9" s="28" t="n"/>
      <c r="BO9" s="28" t="n"/>
      <c r="BP9" s="28" t="n"/>
      <c r="BQ9" s="28" t="n"/>
    </row>
  </sheetData>
  <mergeCells count="3">
    <mergeCell ref="A1:H4"/>
    <mergeCell ref="I3:J4"/>
    <mergeCell ref="F5:G5"/>
  </mergeCells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9">
    <outlinePr summaryBelow="1" summaryRight="1"/>
    <pageSetUpPr/>
  </sheetPr>
  <dimension ref="A1:BQ13"/>
  <sheetViews>
    <sheetView showGridLines="0" zoomScale="70" zoomScaleNormal="70" workbookViewId="0">
      <pane xSplit="12" ySplit="5" topLeftCell="M6" activePane="bottomRight" state="frozen"/>
      <selection pane="topRight" activeCell="A1" sqref="A1"/>
      <selection pane="bottomLeft" activeCell="A1" sqref="A1"/>
      <selection pane="bottomRight" activeCell="E30" sqref="E30"/>
    </sheetView>
  </sheetViews>
  <sheetFormatPr baseColWidth="10" defaultColWidth="8.83203125" defaultRowHeight="15"/>
  <cols>
    <col width="11.83203125" customWidth="1" style="91" min="1" max="1"/>
    <col width="14.1640625" customWidth="1" style="91" min="2" max="2"/>
    <col width="26.33203125" customWidth="1" style="91" min="3" max="3"/>
    <col width="24.1640625" customWidth="1" style="91" min="4" max="4"/>
    <col width="42.83203125" customWidth="1" style="91" min="5" max="5"/>
    <col width="8.83203125" customWidth="1" style="91" min="6" max="7"/>
    <col width="8.83203125" customWidth="1" style="3" min="8" max="8"/>
    <col width="10.1640625" customWidth="1" style="3" min="9" max="9"/>
    <col width="11.83203125" customWidth="1" style="91" min="10" max="10"/>
    <col width="12.83203125" customWidth="1" style="91" min="11" max="11"/>
    <col width="13.6640625" customWidth="1" style="91" min="12" max="12"/>
    <col width="9" customWidth="1" style="91" min="13" max="68"/>
  </cols>
  <sheetData>
    <row r="1" ht="16.25" customFormat="1" customHeight="1" s="101">
      <c r="A1" s="100" t="inlineStr">
        <is>
          <t>SN-2</t>
        </is>
      </c>
      <c r="J1" s="4" t="inlineStr">
        <is>
          <t>单班</t>
        </is>
      </c>
      <c r="K1" s="4" t="n">
        <v>170000</v>
      </c>
      <c r="L1" s="5" t="inlineStr">
        <is>
          <t>未排产计划</t>
        </is>
      </c>
      <c r="M1" s="107" t="n"/>
    </row>
    <row r="2" ht="16.25" customFormat="1" customHeight="1" s="101">
      <c r="J2" s="4" t="inlineStr">
        <is>
          <t>双班</t>
        </is>
      </c>
      <c r="K2" s="4" t="n">
        <v>350000</v>
      </c>
      <c r="L2" s="5" t="inlineStr">
        <is>
          <t>4月排产计划</t>
        </is>
      </c>
      <c r="M2" s="108">
        <f>SUM(#REF!)</f>
        <v/>
      </c>
      <c r="N2" s="109" t="inlineStr">
        <is>
          <t>单</t>
        </is>
      </c>
      <c r="O2" s="109" t="inlineStr">
        <is>
          <t>单</t>
        </is>
      </c>
      <c r="P2" s="109" t="inlineStr">
        <is>
          <t>单</t>
        </is>
      </c>
      <c r="Q2" s="109" t="inlineStr">
        <is>
          <t>单</t>
        </is>
      </c>
      <c r="R2" s="109" t="inlineStr"/>
      <c r="S2" s="109" t="inlineStr">
        <is>
          <t>单</t>
        </is>
      </c>
      <c r="T2" s="109" t="inlineStr">
        <is>
          <t>单</t>
        </is>
      </c>
      <c r="U2" s="109" t="inlineStr">
        <is>
          <t>单</t>
        </is>
      </c>
      <c r="V2" s="109" t="inlineStr">
        <is>
          <t>单</t>
        </is>
      </c>
      <c r="W2" s="109" t="inlineStr">
        <is>
          <t>单</t>
        </is>
      </c>
      <c r="X2" s="109" t="inlineStr">
        <is>
          <t>单</t>
        </is>
      </c>
      <c r="Y2" s="109" t="inlineStr"/>
      <c r="Z2" s="109" t="inlineStr">
        <is>
          <t>单</t>
        </is>
      </c>
      <c r="AA2" s="109" t="inlineStr">
        <is>
          <t>单</t>
        </is>
      </c>
      <c r="AB2" s="109" t="inlineStr">
        <is>
          <t>单</t>
        </is>
      </c>
      <c r="AC2" s="109" t="inlineStr">
        <is>
          <t>单</t>
        </is>
      </c>
      <c r="AD2" s="109" t="inlineStr">
        <is>
          <t>单</t>
        </is>
      </c>
      <c r="AE2" s="109" t="inlineStr">
        <is>
          <t>单</t>
        </is>
      </c>
      <c r="AF2" s="109" t="inlineStr"/>
      <c r="AG2" s="109" t="inlineStr">
        <is>
          <t>单</t>
        </is>
      </c>
      <c r="AH2" s="109" t="inlineStr">
        <is>
          <t>单</t>
        </is>
      </c>
      <c r="AI2" s="109" t="inlineStr">
        <is>
          <t>单</t>
        </is>
      </c>
      <c r="AJ2" s="109" t="inlineStr">
        <is>
          <t>单</t>
        </is>
      </c>
      <c r="AK2" s="109" t="inlineStr">
        <is>
          <t>单</t>
        </is>
      </c>
      <c r="AL2" s="109" t="inlineStr">
        <is>
          <t>单</t>
        </is>
      </c>
      <c r="AM2" s="109" t="inlineStr"/>
      <c r="AN2" s="109" t="inlineStr">
        <is>
          <t>单</t>
        </is>
      </c>
      <c r="AO2" s="109" t="inlineStr">
        <is>
          <t>单</t>
        </is>
      </c>
      <c r="AP2" s="109" t="inlineStr">
        <is>
          <t>单</t>
        </is>
      </c>
      <c r="AQ2" s="109" t="inlineStr">
        <is>
          <t>单</t>
        </is>
      </c>
      <c r="AR2" s="109" t="inlineStr">
        <is>
          <t>单</t>
        </is>
      </c>
      <c r="AS2" s="109" t="inlineStr">
        <is>
          <t>单</t>
        </is>
      </c>
      <c r="AT2" s="109" t="inlineStr"/>
      <c r="AU2" s="109" t="inlineStr">
        <is>
          <t>单</t>
        </is>
      </c>
      <c r="AV2" s="109" t="inlineStr">
        <is>
          <t>单</t>
        </is>
      </c>
      <c r="AW2" s="109" t="inlineStr">
        <is>
          <t>单</t>
        </is>
      </c>
      <c r="AX2" s="109" t="inlineStr">
        <is>
          <t>单</t>
        </is>
      </c>
      <c r="AY2" s="109" t="inlineStr">
        <is>
          <t>单</t>
        </is>
      </c>
      <c r="AZ2" s="109" t="inlineStr">
        <is>
          <t>单</t>
        </is>
      </c>
      <c r="BA2" s="109" t="inlineStr"/>
      <c r="BB2" s="109" t="inlineStr">
        <is>
          <t>单</t>
        </is>
      </c>
      <c r="BC2" s="109" t="inlineStr">
        <is>
          <t>单</t>
        </is>
      </c>
      <c r="BD2" s="109" t="inlineStr">
        <is>
          <t>单</t>
        </is>
      </c>
      <c r="BE2" s="109" t="inlineStr">
        <is>
          <t>单</t>
        </is>
      </c>
      <c r="BF2" s="109" t="inlineStr">
        <is>
          <t>单</t>
        </is>
      </c>
      <c r="BG2" s="109" t="inlineStr">
        <is>
          <t>单</t>
        </is>
      </c>
      <c r="BH2" s="109" t="inlineStr"/>
      <c r="BI2" s="109" t="inlineStr">
        <is>
          <t>单</t>
        </is>
      </c>
      <c r="BJ2" s="109" t="inlineStr">
        <is>
          <t>单</t>
        </is>
      </c>
      <c r="BK2" s="109" t="inlineStr">
        <is>
          <t>单</t>
        </is>
      </c>
      <c r="BL2" s="109" t="inlineStr">
        <is>
          <t>单</t>
        </is>
      </c>
      <c r="BM2" s="109" t="inlineStr">
        <is>
          <t>单</t>
        </is>
      </c>
      <c r="BN2" s="109" t="inlineStr">
        <is>
          <t>单</t>
        </is>
      </c>
      <c r="BO2" s="109" t="inlineStr">
        <is>
          <t>单</t>
        </is>
      </c>
      <c r="BP2" s="109" t="inlineStr">
        <is>
          <t>单</t>
        </is>
      </c>
      <c r="BQ2" s="109" t="inlineStr">
        <is>
          <t>单</t>
        </is>
      </c>
    </row>
    <row r="3" ht="17" customFormat="1" customHeight="1" s="101">
      <c r="J3" s="102" t="n"/>
      <c r="K3" s="103" t="n"/>
      <c r="N3" s="0">
        <f>MAX(0,ROWS(UNIQUE(FILTER($F7:$F13,(N7:N13&gt;0)*($F7:$F13&lt;&gt;""))))-1)*IF(N2="双",VLOOKUP($A$1,'换码设置'!$A:$C,2,FALSE),IF(N2="单",VLOOKUP($A$1,'换码设置'!$A:$C,3,FALSE),0))</f>
        <v/>
      </c>
      <c r="O3" s="0">
        <f>MAX(0,ROWS(UNIQUE(FILTER($F7:$F13,(O7:O13&gt;0)*($F7:$F13&lt;&gt;""))))-1)*IF(O2="双",VLOOKUP($A$1,'换码设置'!$A:$C,2,FALSE),IF(O2="单",VLOOKUP($A$1,'换码设置'!$A:$C,3,FALSE),0))</f>
        <v/>
      </c>
      <c r="P3" s="0">
        <f>MAX(0,ROWS(UNIQUE(FILTER($F7:$F13,(P7:P13&gt;0)*($F7:$F13&lt;&gt;""))))-1)*IF(P2="双",VLOOKUP($A$1,'换码设置'!$A:$C,2,FALSE),IF(P2="单",VLOOKUP($A$1,'换码设置'!$A:$C,3,FALSE),0))</f>
        <v/>
      </c>
      <c r="Q3" s="0">
        <f>MAX(0,ROWS(UNIQUE(FILTER($F7:$F13,(Q7:Q13&gt;0)*($F7:$F13&lt;&gt;""))))-1)*IF(Q2="双",VLOOKUP($A$1,'换码设置'!$A:$C,2,FALSE),IF(Q2="单",VLOOKUP($A$1,'换码设置'!$A:$C,3,FALSE),0))</f>
        <v/>
      </c>
      <c r="R3" s="0">
        <f>MAX(0,ROWS(UNIQUE(FILTER($F7:$F13,(R7:R13&gt;0)*($F7:$F13&lt;&gt;""))))-1)*IF(R2="双",VLOOKUP($A$1,'换码设置'!$A:$C,2,FALSE),IF(R2="单",VLOOKUP($A$1,'换码设置'!$A:$C,3,FALSE),0))</f>
        <v/>
      </c>
      <c r="S3" s="0">
        <f>MAX(0,ROWS(UNIQUE(FILTER($F7:$F13,(S7:S13&gt;0)*($F7:$F13&lt;&gt;""))))-1)*IF(S2="双",VLOOKUP($A$1,'换码设置'!$A:$C,2,FALSE),IF(S2="单",VLOOKUP($A$1,'换码设置'!$A:$C,3,FALSE),0))</f>
        <v/>
      </c>
      <c r="T3" s="0">
        <f>MAX(0,ROWS(UNIQUE(FILTER($F7:$F13,(T7:T13&gt;0)*($F7:$F13&lt;&gt;""))))-1)*IF(T2="双",VLOOKUP($A$1,'换码设置'!$A:$C,2,FALSE),IF(T2="单",VLOOKUP($A$1,'换码设置'!$A:$C,3,FALSE),0))</f>
        <v/>
      </c>
      <c r="U3" s="0">
        <f>MAX(0,ROWS(UNIQUE(FILTER($F7:$F13,(U7:U13&gt;0)*($F7:$F13&lt;&gt;""))))-1)*IF(U2="双",VLOOKUP($A$1,'换码设置'!$A:$C,2,FALSE),IF(U2="单",VLOOKUP($A$1,'换码设置'!$A:$C,3,FALSE),0))</f>
        <v/>
      </c>
      <c r="V3" s="0">
        <f>MAX(0,ROWS(UNIQUE(FILTER($F7:$F13,(V7:V13&gt;0)*($F7:$F13&lt;&gt;""))))-1)*IF(V2="双",VLOOKUP($A$1,'换码设置'!$A:$C,2,FALSE),IF(V2="单",VLOOKUP($A$1,'换码设置'!$A:$C,3,FALSE),0))</f>
        <v/>
      </c>
      <c r="W3" s="0">
        <f>MAX(0,ROWS(UNIQUE(FILTER($F7:$F13,(W7:W13&gt;0)*($F7:$F13&lt;&gt;""))))-1)*IF(W2="双",VLOOKUP($A$1,'换码设置'!$A:$C,2,FALSE),IF(W2="单",VLOOKUP($A$1,'换码设置'!$A:$C,3,FALSE),0))</f>
        <v/>
      </c>
      <c r="X3" s="0">
        <f>MAX(0,ROWS(UNIQUE(FILTER($F7:$F13,(X7:X13&gt;0)*($F7:$F13&lt;&gt;""))))-1)*IF(X2="双",VLOOKUP($A$1,'换码设置'!$A:$C,2,FALSE),IF(X2="单",VLOOKUP($A$1,'换码设置'!$A:$C,3,FALSE),0))</f>
        <v/>
      </c>
      <c r="Y3" s="0">
        <f>MAX(0,ROWS(UNIQUE(FILTER($F7:$F13,(Y7:Y13&gt;0)*($F7:$F13&lt;&gt;""))))-1)*IF(Y2="双",VLOOKUP($A$1,'换码设置'!$A:$C,2,FALSE),IF(Y2="单",VLOOKUP($A$1,'换码设置'!$A:$C,3,FALSE),0))</f>
        <v/>
      </c>
      <c r="Z3" s="0">
        <f>MAX(0,ROWS(UNIQUE(FILTER($F7:$F13,(Z7:Z13&gt;0)*($F7:$F13&lt;&gt;""))))-1)*IF(Z2="双",VLOOKUP($A$1,'换码设置'!$A:$C,2,FALSE),IF(Z2="单",VLOOKUP($A$1,'换码设置'!$A:$C,3,FALSE),0))</f>
        <v/>
      </c>
      <c r="AA3" s="0">
        <f>MAX(0,ROWS(UNIQUE(FILTER($F7:$F13,(AA7:AA13&gt;0)*($F7:$F13&lt;&gt;""))))-1)*IF(AA2="双",VLOOKUP($A$1,'换码设置'!$A:$C,2,FALSE),IF(AA2="单",VLOOKUP($A$1,'换码设置'!$A:$C,3,FALSE),0))</f>
        <v/>
      </c>
      <c r="AB3" s="0">
        <f>MAX(0,ROWS(UNIQUE(FILTER($F7:$F13,(AB7:AB13&gt;0)*($F7:$F13&lt;&gt;""))))-1)*IF(AB2="双",VLOOKUP($A$1,'换码设置'!$A:$C,2,FALSE),IF(AB2="单",VLOOKUP($A$1,'换码设置'!$A:$C,3,FALSE),0))</f>
        <v/>
      </c>
      <c r="AC3" s="0">
        <f>MAX(0,ROWS(UNIQUE(FILTER($F7:$F13,(AC7:AC13&gt;0)*($F7:$F13&lt;&gt;""))))-1)*IF(AC2="双",VLOOKUP($A$1,'换码设置'!$A:$C,2,FALSE),IF(AC2="单",VLOOKUP($A$1,'换码设置'!$A:$C,3,FALSE),0))</f>
        <v/>
      </c>
      <c r="AD3" s="0">
        <f>MAX(0,ROWS(UNIQUE(FILTER($F7:$F13,(AD7:AD13&gt;0)*($F7:$F13&lt;&gt;""))))-1)*IF(AD2="双",VLOOKUP($A$1,'换码设置'!$A:$C,2,FALSE),IF(AD2="单",VLOOKUP($A$1,'换码设置'!$A:$C,3,FALSE),0))</f>
        <v/>
      </c>
      <c r="AE3" s="0">
        <f>MAX(0,ROWS(UNIQUE(FILTER($F7:$F13,(AE7:AE13&gt;0)*($F7:$F13&lt;&gt;""))))-1)*IF(AE2="双",VLOOKUP($A$1,'换码设置'!$A:$C,2,FALSE),IF(AE2="单",VLOOKUP($A$1,'换码设置'!$A:$C,3,FALSE),0))</f>
        <v/>
      </c>
      <c r="AF3" s="0">
        <f>MAX(0,ROWS(UNIQUE(FILTER($F7:$F13,(AF7:AF13&gt;0)*($F7:$F13&lt;&gt;""))))-1)*IF(AF2="双",VLOOKUP($A$1,'换码设置'!$A:$C,2,FALSE),IF(AF2="单",VLOOKUP($A$1,'换码设置'!$A:$C,3,FALSE),0))</f>
        <v/>
      </c>
      <c r="AG3" s="0">
        <f>MAX(0,ROWS(UNIQUE(FILTER($F7:$F13,(AG7:AG13&gt;0)*($F7:$F13&lt;&gt;""))))-1)*IF(AG2="双",VLOOKUP($A$1,'换码设置'!$A:$C,2,FALSE),IF(AG2="单",VLOOKUP($A$1,'换码设置'!$A:$C,3,FALSE),0))</f>
        <v/>
      </c>
      <c r="AH3" s="0">
        <f>MAX(0,ROWS(UNIQUE(FILTER($F7:$F13,(AH7:AH13&gt;0)*($F7:$F13&lt;&gt;""))))-1)*IF(AH2="双",VLOOKUP($A$1,'换码设置'!$A:$C,2,FALSE),IF(AH2="单",VLOOKUP($A$1,'换码设置'!$A:$C,3,FALSE),0))</f>
        <v/>
      </c>
      <c r="AI3" s="0">
        <f>MAX(0,ROWS(UNIQUE(FILTER($F7:$F13,(AI7:AI13&gt;0)*($F7:$F13&lt;&gt;""))))-1)*IF(AI2="双",VLOOKUP($A$1,'换码设置'!$A:$C,2,FALSE),IF(AI2="单",VLOOKUP($A$1,'换码设置'!$A:$C,3,FALSE),0))</f>
        <v/>
      </c>
      <c r="AJ3" s="0">
        <f>MAX(0,ROWS(UNIQUE(FILTER($F7:$F13,(AJ7:AJ13&gt;0)*($F7:$F13&lt;&gt;""))))-1)*IF(AJ2="双",VLOOKUP($A$1,'换码设置'!$A:$C,2,FALSE),IF(AJ2="单",VLOOKUP($A$1,'换码设置'!$A:$C,3,FALSE),0))</f>
        <v/>
      </c>
      <c r="AK3" s="0">
        <f>MAX(0,ROWS(UNIQUE(FILTER($F7:$F13,(AK7:AK13&gt;0)*($F7:$F13&lt;&gt;""))))-1)*IF(AK2="双",VLOOKUP($A$1,'换码设置'!$A:$C,2,FALSE),IF(AK2="单",VLOOKUP($A$1,'换码设置'!$A:$C,3,FALSE),0))</f>
        <v/>
      </c>
      <c r="AL3" s="0">
        <f>MAX(0,ROWS(UNIQUE(FILTER($F7:$F13,(AL7:AL13&gt;0)*($F7:$F13&lt;&gt;""))))-1)*IF(AL2="双",VLOOKUP($A$1,'换码设置'!$A:$C,2,FALSE),IF(AL2="单",VLOOKUP($A$1,'换码设置'!$A:$C,3,FALSE),0))</f>
        <v/>
      </c>
      <c r="AM3" s="0">
        <f>MAX(0,ROWS(UNIQUE(FILTER($F7:$F13,(AM7:AM13&gt;0)*($F7:$F13&lt;&gt;""))))-1)*IF(AM2="双",VLOOKUP($A$1,'换码设置'!$A:$C,2,FALSE),IF(AM2="单",VLOOKUP($A$1,'换码设置'!$A:$C,3,FALSE),0))</f>
        <v/>
      </c>
      <c r="AN3" s="0">
        <f>MAX(0,ROWS(UNIQUE(FILTER($F7:$F13,(AN7:AN13&gt;0)*($F7:$F13&lt;&gt;""))))-1)*IF(AN2="双",VLOOKUP($A$1,'换码设置'!$A:$C,2,FALSE),IF(AN2="单",VLOOKUP($A$1,'换码设置'!$A:$C,3,FALSE),0))</f>
        <v/>
      </c>
      <c r="AO3" s="0">
        <f>MAX(0,ROWS(UNIQUE(FILTER($F7:$F13,(AO7:AO13&gt;0)*($F7:$F13&lt;&gt;""))))-1)*IF(AO2="双",VLOOKUP($A$1,'换码设置'!$A:$C,2,FALSE),IF(AO2="单",VLOOKUP($A$1,'换码设置'!$A:$C,3,FALSE),0))</f>
        <v/>
      </c>
      <c r="AP3" s="0">
        <f>MAX(0,ROWS(UNIQUE(FILTER($F7:$F13,(AP7:AP13&gt;0)*($F7:$F13&lt;&gt;""))))-1)*IF(AP2="双",VLOOKUP($A$1,'换码设置'!$A:$C,2,FALSE),IF(AP2="单",VLOOKUP($A$1,'换码设置'!$A:$C,3,FALSE),0))</f>
        <v/>
      </c>
      <c r="AQ3" s="0">
        <f>MAX(0,ROWS(UNIQUE(FILTER($F7:$F13,(AQ7:AQ13&gt;0)*($F7:$F13&lt;&gt;""))))-1)*IF(AQ2="双",VLOOKUP($A$1,'换码设置'!$A:$C,2,FALSE),IF(AQ2="单",VLOOKUP($A$1,'换码设置'!$A:$C,3,FALSE),0))</f>
        <v/>
      </c>
      <c r="AR3" s="0">
        <f>MAX(0,ROWS(UNIQUE(FILTER($F7:$F13,(AR7:AR13&gt;0)*($F7:$F13&lt;&gt;""))))-1)*IF(AR2="双",VLOOKUP($A$1,'换码设置'!$A:$C,2,FALSE),IF(AR2="单",VLOOKUP($A$1,'换码设置'!$A:$C,3,FALSE),0))</f>
        <v/>
      </c>
      <c r="AS3" s="0">
        <f>MAX(0,ROWS(UNIQUE(FILTER($F7:$F13,(AS7:AS13&gt;0)*($F7:$F13&lt;&gt;""))))-1)*IF(AS2="双",VLOOKUP($A$1,'换码设置'!$A:$C,2,FALSE),IF(AS2="单",VLOOKUP($A$1,'换码设置'!$A:$C,3,FALSE),0))</f>
        <v/>
      </c>
      <c r="AT3" s="0">
        <f>MAX(0,ROWS(UNIQUE(FILTER($F7:$F13,(AT7:AT13&gt;0)*($F7:$F13&lt;&gt;""))))-1)*IF(AT2="双",VLOOKUP($A$1,'换码设置'!$A:$C,2,FALSE),IF(AT2="单",VLOOKUP($A$1,'换码设置'!$A:$C,3,FALSE),0))</f>
        <v/>
      </c>
      <c r="AU3" s="0">
        <f>MAX(0,ROWS(UNIQUE(FILTER($F7:$F13,(AU7:AU13&gt;0)*($F7:$F13&lt;&gt;""))))-1)*IF(AU2="双",VLOOKUP($A$1,'换码设置'!$A:$C,2,FALSE),IF(AU2="单",VLOOKUP($A$1,'换码设置'!$A:$C,3,FALSE),0))</f>
        <v/>
      </c>
      <c r="AV3" s="0">
        <f>MAX(0,ROWS(UNIQUE(FILTER($F7:$F13,(AV7:AV13&gt;0)*($F7:$F13&lt;&gt;""))))-1)*IF(AV2="双",VLOOKUP($A$1,'换码设置'!$A:$C,2,FALSE),IF(AV2="单",VLOOKUP($A$1,'换码设置'!$A:$C,3,FALSE),0))</f>
        <v/>
      </c>
      <c r="AW3" s="0">
        <f>MAX(0,ROWS(UNIQUE(FILTER($F7:$F13,(AW7:AW13&gt;0)*($F7:$F13&lt;&gt;""))))-1)*IF(AW2="双",VLOOKUP($A$1,'换码设置'!$A:$C,2,FALSE),IF(AW2="单",VLOOKUP($A$1,'换码设置'!$A:$C,3,FALSE),0))</f>
        <v/>
      </c>
      <c r="AX3" s="0">
        <f>MAX(0,ROWS(UNIQUE(FILTER($F7:$F13,(AX7:AX13&gt;0)*($F7:$F13&lt;&gt;""))))-1)*IF(AX2="双",VLOOKUP($A$1,'换码设置'!$A:$C,2,FALSE),IF(AX2="单",VLOOKUP($A$1,'换码设置'!$A:$C,3,FALSE),0))</f>
        <v/>
      </c>
      <c r="AY3" s="0">
        <f>MAX(0,ROWS(UNIQUE(FILTER($F7:$F13,(AY7:AY13&gt;0)*($F7:$F13&lt;&gt;""))))-1)*IF(AY2="双",VLOOKUP($A$1,'换码设置'!$A:$C,2,FALSE),IF(AY2="单",VLOOKUP($A$1,'换码设置'!$A:$C,3,FALSE),0))</f>
        <v/>
      </c>
      <c r="AZ3" s="0">
        <f>MAX(0,ROWS(UNIQUE(FILTER($F7:$F13,(AZ7:AZ13&gt;0)*($F7:$F13&lt;&gt;""))))-1)*IF(AZ2="双",VLOOKUP($A$1,'换码设置'!$A:$C,2,FALSE),IF(AZ2="单",VLOOKUP($A$1,'换码设置'!$A:$C,3,FALSE),0))</f>
        <v/>
      </c>
      <c r="BA3" s="0">
        <f>MAX(0,ROWS(UNIQUE(FILTER($F7:$F13,(BA7:BA13&gt;0)*($F7:$F13&lt;&gt;""))))-1)*IF(BA2="双",VLOOKUP($A$1,'换码设置'!$A:$C,2,FALSE),IF(BA2="单",VLOOKUP($A$1,'换码设置'!$A:$C,3,FALSE),0))</f>
        <v/>
      </c>
      <c r="BB3" s="0">
        <f>MAX(0,ROWS(UNIQUE(FILTER($F7:$F13,(BB7:BB13&gt;0)*($F7:$F13&lt;&gt;""))))-1)*IF(BB2="双",VLOOKUP($A$1,'换码设置'!$A:$C,2,FALSE),IF(BB2="单",VLOOKUP($A$1,'换码设置'!$A:$C,3,FALSE),0))</f>
        <v/>
      </c>
      <c r="BC3" s="0">
        <f>MAX(0,ROWS(UNIQUE(FILTER($F7:$F13,(BC7:BC13&gt;0)*($F7:$F13&lt;&gt;""))))-1)*IF(BC2="双",VLOOKUP($A$1,'换码设置'!$A:$C,2,FALSE),IF(BC2="单",VLOOKUP($A$1,'换码设置'!$A:$C,3,FALSE),0))</f>
        <v/>
      </c>
      <c r="BD3" s="0">
        <f>MAX(0,ROWS(UNIQUE(FILTER($F7:$F13,(BD7:BD13&gt;0)*($F7:$F13&lt;&gt;""))))-1)*IF(BD2="双",VLOOKUP($A$1,'换码设置'!$A:$C,2,FALSE),IF(BD2="单",VLOOKUP($A$1,'换码设置'!$A:$C,3,FALSE),0))</f>
        <v/>
      </c>
      <c r="BE3" s="0">
        <f>MAX(0,ROWS(UNIQUE(FILTER($F7:$F13,(BE7:BE13&gt;0)*($F7:$F13&lt;&gt;""))))-1)*IF(BE2="双",VLOOKUP($A$1,'换码设置'!$A:$C,2,FALSE),IF(BE2="单",VLOOKUP($A$1,'换码设置'!$A:$C,3,FALSE),0))</f>
        <v/>
      </c>
      <c r="BF3" s="0">
        <f>MAX(0,ROWS(UNIQUE(FILTER($F7:$F13,(BF7:BF13&gt;0)*($F7:$F13&lt;&gt;""))))-1)*IF(BF2="双",VLOOKUP($A$1,'换码设置'!$A:$C,2,FALSE),IF(BF2="单",VLOOKUP($A$1,'换码设置'!$A:$C,3,FALSE),0))</f>
        <v/>
      </c>
      <c r="BG3" s="0">
        <f>MAX(0,ROWS(UNIQUE(FILTER($F7:$F13,(BG7:BG13&gt;0)*($F7:$F13&lt;&gt;""))))-1)*IF(BG2="双",VLOOKUP($A$1,'换码设置'!$A:$C,2,FALSE),IF(BG2="单",VLOOKUP($A$1,'换码设置'!$A:$C,3,FALSE),0))</f>
        <v/>
      </c>
      <c r="BH3" s="0">
        <f>MAX(0,ROWS(UNIQUE(FILTER($F7:$F13,(BH7:BH13&gt;0)*($F7:$F13&lt;&gt;""))))-1)*IF(BH2="双",VLOOKUP($A$1,'换码设置'!$A:$C,2,FALSE),IF(BH2="单",VLOOKUP($A$1,'换码设置'!$A:$C,3,FALSE),0))</f>
        <v/>
      </c>
      <c r="BI3" s="0">
        <f>MAX(0,ROWS(UNIQUE(FILTER($F7:$F13,(BI7:BI13&gt;0)*($F7:$F13&lt;&gt;""))))-1)*IF(BI2="双",VLOOKUP($A$1,'换码设置'!$A:$C,2,FALSE),IF(BI2="单",VLOOKUP($A$1,'换码设置'!$A:$C,3,FALSE),0))</f>
        <v/>
      </c>
      <c r="BJ3" s="0">
        <f>MAX(0,ROWS(UNIQUE(FILTER($F7:$F13,(BJ7:BJ13&gt;0)*($F7:$F13&lt;&gt;""))))-1)*IF(BJ2="双",VLOOKUP($A$1,'换码设置'!$A:$C,2,FALSE),IF(BJ2="单",VLOOKUP($A$1,'换码设置'!$A:$C,3,FALSE),0))</f>
        <v/>
      </c>
      <c r="BK3" s="0">
        <f>MAX(0,ROWS(UNIQUE(FILTER($F7:$F13,(BK7:BK13&gt;0)*($F7:$F13&lt;&gt;""))))-1)*IF(BK2="双",VLOOKUP($A$1,'换码设置'!$A:$C,2,FALSE),IF(BK2="单",VLOOKUP($A$1,'换码设置'!$A:$C,3,FALSE),0))</f>
        <v/>
      </c>
      <c r="BL3" s="0">
        <f>MAX(0,ROWS(UNIQUE(FILTER($F7:$F13,(BL7:BL13&gt;0)*($F7:$F13&lt;&gt;""))))-1)*IF(BL2="双",VLOOKUP($A$1,'换码设置'!$A:$C,2,FALSE),IF(BL2="单",VLOOKUP($A$1,'换码设置'!$A:$C,3,FALSE),0))</f>
        <v/>
      </c>
      <c r="BM3" s="0">
        <f>MAX(0,ROWS(UNIQUE(FILTER($F7:$F13,(BM7:BM13&gt;0)*($F7:$F13&lt;&gt;""))))-1)*IF(BM2="双",VLOOKUP($A$1,'换码设置'!$A:$C,2,FALSE),IF(BM2="单",VLOOKUP($A$1,'换码设置'!$A:$C,3,FALSE),0))</f>
        <v/>
      </c>
      <c r="BN3" s="0">
        <f>MAX(0,ROWS(UNIQUE(FILTER($F7:$F13,(BN7:BN13&gt;0)*($F7:$F13&lt;&gt;""))))-1)*IF(BN2="双",VLOOKUP($A$1,'换码设置'!$A:$C,2,FALSE),IF(BN2="单",VLOOKUP($A$1,'换码设置'!$A:$C,3,FALSE),0))</f>
        <v/>
      </c>
      <c r="BO3" s="0">
        <f>MAX(0,ROWS(UNIQUE(FILTER($F7:$F13,(BO7:BO13&gt;0)*($F7:$F13&lt;&gt;""))))-1)*IF(BO2="双",VLOOKUP($A$1,'换码设置'!$A:$C,2,FALSE),IF(BO2="单",VLOOKUP($A$1,'换码设置'!$A:$C,3,FALSE),0))</f>
        <v/>
      </c>
      <c r="BP3" s="0">
        <f>MAX(0,ROWS(UNIQUE(FILTER($F7:$F13,(BP7:BP13&gt;0)*($F7:$F13&lt;&gt;""))))-1)*IF(BP2="双",VLOOKUP($A$1,'换码设置'!$A:$C,2,FALSE),IF(BP2="单",VLOOKUP($A$1,'换码设置'!$A:$C,3,FALSE),0))</f>
        <v/>
      </c>
      <c r="BQ3" s="0">
        <f>MAX(0,ROWS(UNIQUE(FILTER($F7:$F13,(BQ7:BQ13&gt;0)*($F7:$F13&lt;&gt;""))))-1)*IF(BQ2="双",VLOOKUP($A$1,'换码设置'!$A:$C,2,FALSE),IF(BQ2="单",VLOOKUP($A$1,'换码设置'!$A:$C,3,FALSE),0))</f>
        <v/>
      </c>
    </row>
    <row r="4" ht="17" customFormat="1" customHeight="1" s="101">
      <c r="K4" s="103" t="n"/>
      <c r="L4" s="5" t="inlineStr">
        <is>
          <t>5月排产计划</t>
        </is>
      </c>
      <c r="M4" s="108">
        <f>SUM(M5:AL5)</f>
        <v/>
      </c>
      <c r="N4" s="122" t="n">
        <v>46148</v>
      </c>
      <c r="O4" s="122" t="n">
        <v>46149</v>
      </c>
      <c r="P4" s="122" t="n">
        <v>46150</v>
      </c>
      <c r="Q4" s="122" t="n">
        <v>46151</v>
      </c>
      <c r="R4" s="122" t="n">
        <v>46152</v>
      </c>
      <c r="S4" s="122" t="n">
        <v>46153</v>
      </c>
      <c r="T4" s="122" t="n">
        <v>46154</v>
      </c>
      <c r="U4" s="122" t="n">
        <v>46155</v>
      </c>
      <c r="V4" s="122" t="n">
        <v>46156</v>
      </c>
      <c r="W4" s="122" t="n">
        <v>46157</v>
      </c>
      <c r="X4" s="122" t="n">
        <v>46158</v>
      </c>
      <c r="Y4" s="122" t="n">
        <v>46159</v>
      </c>
      <c r="Z4" s="122" t="n">
        <v>46160</v>
      </c>
      <c r="AA4" s="122" t="n">
        <v>46161</v>
      </c>
      <c r="AB4" s="122" t="n">
        <v>46162</v>
      </c>
      <c r="AC4" s="122" t="n">
        <v>46163</v>
      </c>
      <c r="AD4" s="122" t="n">
        <v>46164</v>
      </c>
      <c r="AE4" s="122" t="n">
        <v>46165</v>
      </c>
      <c r="AF4" s="122" t="n">
        <v>46166</v>
      </c>
      <c r="AG4" s="122" t="n">
        <v>46167</v>
      </c>
      <c r="AH4" s="122" t="n">
        <v>46168</v>
      </c>
      <c r="AI4" s="122" t="n">
        <v>46169</v>
      </c>
      <c r="AJ4" s="122" t="n">
        <v>46170</v>
      </c>
      <c r="AK4" s="122" t="n">
        <v>46171</v>
      </c>
      <c r="AL4" s="122" t="n">
        <v>46172</v>
      </c>
      <c r="AM4" s="122" t="n">
        <v>46173</v>
      </c>
      <c r="AN4" s="122" t="n">
        <v>46174</v>
      </c>
      <c r="AO4" s="122" t="n">
        <v>46175</v>
      </c>
      <c r="AP4" s="122" t="n">
        <v>46176</v>
      </c>
      <c r="AQ4" s="122" t="n">
        <v>46177</v>
      </c>
      <c r="AR4" s="122" t="n">
        <v>46178</v>
      </c>
      <c r="AS4" s="122" t="n">
        <v>46179</v>
      </c>
      <c r="AT4" s="122" t="n">
        <v>46180</v>
      </c>
      <c r="AU4" s="122" t="n">
        <v>46181</v>
      </c>
      <c r="AV4" s="122" t="n">
        <v>46182</v>
      </c>
      <c r="AW4" s="122" t="n">
        <v>46183</v>
      </c>
      <c r="AX4" s="122" t="n">
        <v>46184</v>
      </c>
      <c r="AY4" s="122" t="n">
        <v>46185</v>
      </c>
      <c r="AZ4" s="122" t="n">
        <v>46186</v>
      </c>
      <c r="BA4" s="122" t="n">
        <v>46187</v>
      </c>
      <c r="BB4" s="122" t="n">
        <v>46188</v>
      </c>
      <c r="BC4" s="122" t="n">
        <v>46189</v>
      </c>
      <c r="BD4" s="122" t="n">
        <v>46190</v>
      </c>
      <c r="BE4" s="122" t="n">
        <v>46191</v>
      </c>
      <c r="BF4" s="122" t="n">
        <v>46192</v>
      </c>
      <c r="BG4" s="122" t="n">
        <v>46193</v>
      </c>
      <c r="BH4" s="122" t="n">
        <v>46194</v>
      </c>
      <c r="BI4" s="122" t="n">
        <v>46195</v>
      </c>
      <c r="BJ4" s="122" t="n">
        <v>46196</v>
      </c>
      <c r="BK4" s="122" t="n">
        <v>46197</v>
      </c>
      <c r="BL4" s="122" t="n">
        <v>46198</v>
      </c>
      <c r="BM4" s="122" t="n">
        <v>46199</v>
      </c>
      <c r="BN4" s="122" t="n">
        <v>46200</v>
      </c>
      <c r="BO4" s="122" t="n">
        <v>46201</v>
      </c>
      <c r="BP4" s="122" t="n">
        <v>46202</v>
      </c>
      <c r="BQ4" s="122" t="n">
        <v>46203</v>
      </c>
    </row>
    <row r="5" ht="15.5" customFormat="1" customHeight="1" s="101">
      <c r="G5" s="101" t="n"/>
      <c r="J5" s="95" t="n"/>
      <c r="K5" s="96" t="n"/>
      <c r="L5" s="5" t="inlineStr">
        <is>
          <t>目前总共订单</t>
        </is>
      </c>
      <c r="M5" s="110">
        <f>SUM(L1:L3)</f>
        <v/>
      </c>
      <c r="N5" s="15">
        <f>IF(N2="单",$K$1,IF(N2="双",$K$2,0))-N3-N6</f>
        <v/>
      </c>
      <c r="O5" s="15">
        <f>IF(O2="单",$K$1,IF(O2="双",$K$2,0))-O3-O6</f>
        <v/>
      </c>
      <c r="P5" s="15">
        <f>IF(P2="单",$K$1,IF(P2="双",$K$2,0))-P3-P6</f>
        <v/>
      </c>
      <c r="Q5" s="15">
        <f>IF(Q2="单",$K$1,IF(Q2="双",$K$2,0))-Q3-Q6</f>
        <v/>
      </c>
      <c r="R5" s="15">
        <f>IF(R2="单",$K$1,IF(R2="双",$K$2,0))-R3-R6</f>
        <v/>
      </c>
      <c r="S5" s="15">
        <f>IF(S2="单",$K$1,IF(S2="双",$K$2,0))-S3-S6</f>
        <v/>
      </c>
      <c r="T5" s="15">
        <f>IF(T2="单",$K$1,IF(T2="双",$K$2,0))-T3-T6</f>
        <v/>
      </c>
      <c r="U5" s="15">
        <f>IF(U2="单",$K$1,IF(U2="双",$K$2,0))-U3-U6</f>
        <v/>
      </c>
      <c r="V5" s="15">
        <f>IF(V2="单",$K$1,IF(V2="双",$K$2,0))-V3-V6</f>
        <v/>
      </c>
      <c r="W5" s="15">
        <f>IF(W2="单",$K$1,IF(W2="双",$K$2,0))-W3-W6</f>
        <v/>
      </c>
      <c r="X5" s="15">
        <f>IF(X2="单",$K$1,IF(X2="双",$K$2,0))-X3-X6</f>
        <v/>
      </c>
      <c r="Y5" s="15">
        <f>IF(Y2="单",$K$1,IF(Y2="双",$K$2,0))-Y3-Y6</f>
        <v/>
      </c>
      <c r="Z5" s="15">
        <f>IF(Z2="单",$K$1,IF(Z2="双",$K$2,0))-Z3-Z6</f>
        <v/>
      </c>
      <c r="AA5" s="15">
        <f>IF(AA2="单",$K$1,IF(AA2="双",$K$2,0))-AA3-AA6</f>
        <v/>
      </c>
      <c r="AB5" s="15">
        <f>IF(AB2="单",$K$1,IF(AB2="双",$K$2,0))-AB3-AB6</f>
        <v/>
      </c>
      <c r="AC5" s="15">
        <f>IF(AC2="单",$K$1,IF(AC2="双",$K$2,0))-AC3-AC6</f>
        <v/>
      </c>
      <c r="AD5" s="15">
        <f>IF(AD2="单",$K$1,IF(AD2="双",$K$2,0))-AD3-AD6</f>
        <v/>
      </c>
      <c r="AE5" s="15">
        <f>IF(AE2="单",$K$1,IF(AE2="双",$K$2,0))-AE3-AE6</f>
        <v/>
      </c>
      <c r="AF5" s="15">
        <f>IF(AF2="单",$K$1,IF(AF2="双",$K$2,0))-AF3-AF6</f>
        <v/>
      </c>
      <c r="AG5" s="15">
        <f>IF(AG2="单",$K$1,IF(AG2="双",$K$2,0))-AG3-AG6</f>
        <v/>
      </c>
      <c r="AH5" s="15">
        <f>IF(AH2="单",$K$1,IF(AH2="双",$K$2,0))-AH3-AH6</f>
        <v/>
      </c>
      <c r="AI5" s="15">
        <f>IF(AI2="单",$K$1,IF(AI2="双",$K$2,0))-AI3-AI6</f>
        <v/>
      </c>
      <c r="AJ5" s="15">
        <f>IF(AJ2="单",$K$1,IF(AJ2="双",$K$2,0))-AJ3-AJ6</f>
        <v/>
      </c>
      <c r="AK5" s="15">
        <f>IF(AK2="单",$K$1,IF(AK2="双",$K$2,0))-AK3-AK6</f>
        <v/>
      </c>
      <c r="AL5" s="15">
        <f>IF(AL2="单",$K$1,IF(AL2="双",$K$2,0))-AL3-AL6</f>
        <v/>
      </c>
      <c r="AM5" s="15">
        <f>IF(AM2="单",$K$1,IF(AM2="双",$K$2,0))-AM3-AM6</f>
        <v/>
      </c>
      <c r="AN5" s="15">
        <f>IF(AN2="单",$K$1,IF(AN2="双",$K$2,0))-AN3-AN6</f>
        <v/>
      </c>
      <c r="AO5" s="15">
        <f>IF(AO2="单",$K$1,IF(AO2="双",$K$2,0))-AO3-AO6</f>
        <v/>
      </c>
      <c r="AP5" s="15">
        <f>IF(AP2="单",$K$1,IF(AP2="双",$K$2,0))-AP3-AP6</f>
        <v/>
      </c>
      <c r="AQ5" s="15">
        <f>IF(AQ2="单",$K$1,IF(AQ2="双",$K$2,0))-AQ3-AQ6</f>
        <v/>
      </c>
      <c r="AR5" s="15">
        <f>IF(AR2="单",$K$1,IF(AR2="双",$K$2,0))-AR3-AR6</f>
        <v/>
      </c>
      <c r="AS5" s="15">
        <f>IF(AS2="单",$K$1,IF(AS2="双",$K$2,0))-AS3-AS6</f>
        <v/>
      </c>
      <c r="AT5" s="15">
        <f>IF(AT2="单",$K$1,IF(AT2="双",$K$2,0))-AT3-AT6</f>
        <v/>
      </c>
      <c r="AU5" s="15">
        <f>IF(AU2="单",$K$1,IF(AU2="双",$K$2,0))-AU3-AU6</f>
        <v/>
      </c>
      <c r="AV5" s="15">
        <f>IF(AV2="单",$K$1,IF(AV2="双",$K$2,0))-AV3-AV6</f>
        <v/>
      </c>
      <c r="AW5" s="15">
        <f>IF(AW2="单",$K$1,IF(AW2="双",$K$2,0))-AW3-AW6</f>
        <v/>
      </c>
      <c r="AX5" s="15">
        <f>IF(AX2="单",$K$1,IF(AX2="双",$K$2,0))-AX3-AX6</f>
        <v/>
      </c>
      <c r="AY5" s="15">
        <f>IF(AY2="单",$K$1,IF(AY2="双",$K$2,0))-AY3-AY6</f>
        <v/>
      </c>
      <c r="AZ5" s="15">
        <f>IF(AZ2="单",$K$1,IF(AZ2="双",$K$2,0))-AZ3-AZ6</f>
        <v/>
      </c>
      <c r="BA5" s="15">
        <f>IF(BA2="单",$K$1,IF(BA2="双",$K$2,0))-BA3-BA6</f>
        <v/>
      </c>
      <c r="BB5" s="15">
        <f>IF(BB2="单",$K$1,IF(BB2="双",$K$2,0))-BB3-BB6</f>
        <v/>
      </c>
      <c r="BC5" s="15">
        <f>IF(BC2="单",$K$1,IF(BC2="双",$K$2,0))-BC3-BC6</f>
        <v/>
      </c>
      <c r="BD5" s="15">
        <f>IF(BD2="单",$K$1,IF(BD2="双",$K$2,0))-BD3-BD6</f>
        <v/>
      </c>
      <c r="BE5" s="15">
        <f>IF(BE2="单",$K$1,IF(BE2="双",$K$2,0))-BE3-BE6</f>
        <v/>
      </c>
      <c r="BF5" s="15">
        <f>IF(BF2="单",$K$1,IF(BF2="双",$K$2,0))-BF3-BF6</f>
        <v/>
      </c>
      <c r="BG5" s="15">
        <f>IF(BG2="单",$K$1,IF(BG2="双",$K$2,0))-BG3-BG6</f>
        <v/>
      </c>
      <c r="BH5" s="15">
        <f>IF(BH2="单",$K$1,IF(BH2="双",$K$2,0))-BH3-BH6</f>
        <v/>
      </c>
      <c r="BI5" s="15">
        <f>IF(BI2="单",$K$1,IF(BI2="双",$K$2,0))-BI3-BI6</f>
        <v/>
      </c>
      <c r="BJ5" s="15">
        <f>IF(BJ2="单",$K$1,IF(BJ2="双",$K$2,0))-BJ3-BJ6</f>
        <v/>
      </c>
      <c r="BK5" s="15">
        <f>IF(BK2="单",$K$1,IF(BK2="双",$K$2,0))-BK3-BK6</f>
        <v/>
      </c>
      <c r="BL5" s="15">
        <f>IF(BL2="单",$K$1,IF(BL2="双",$K$2,0))-BL3-BL6</f>
        <v/>
      </c>
      <c r="BM5" s="15">
        <f>IF(BM2="单",$K$1,IF(BM2="双",$K$2,0))-BM3-BM6</f>
        <v/>
      </c>
      <c r="BN5" s="15">
        <f>IF(BN2="单",$K$1,IF(BN2="双",$K$2,0))-BN3-BN6</f>
        <v/>
      </c>
      <c r="BO5" s="15">
        <f>IF(BO2="单",$K$1,IF(BO2="双",$K$2,0))-BO3-BO6</f>
        <v/>
      </c>
      <c r="BP5" s="15">
        <f>IF(BP2="单",$K$1,IF(BP2="双",$K$2,0))-BP3-BP6</f>
        <v/>
      </c>
      <c r="BQ5" s="15">
        <f>IF(BQ2="单",$K$1,IF(BQ2="双",$K$2,0))-BQ3-BQ6</f>
        <v/>
      </c>
    </row>
    <row r="6" ht="17.5" customHeight="1" s="91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t="inlineStr">
        <is>
          <t>尺码</t>
        </is>
      </c>
      <c r="G6" s="97" t="inlineStr">
        <is>
          <t>规格(p*b*z)</t>
        </is>
      </c>
      <c r="H6" s="98" t="n"/>
      <c r="I6" s="111" t="inlineStr">
        <is>
          <t>下单时间</t>
        </is>
      </c>
      <c r="J6" s="112" t="inlineStr">
        <is>
          <t>最晚交货时间</t>
        </is>
      </c>
      <c r="K6" s="15" t="inlineStr">
        <is>
          <t>下单箱数</t>
        </is>
      </c>
      <c r="L6" s="16" t="inlineStr">
        <is>
          <t>下单片数</t>
        </is>
      </c>
      <c r="M6" s="17" t="inlineStr">
        <is>
          <t>剩余排产</t>
        </is>
      </c>
      <c r="N6" s="31">
        <f>SUMPRODUCT($G7:$G9964,$H7:$H9964,N$7:N$9964)</f>
        <v/>
      </c>
      <c r="O6" s="31">
        <f>SUMPRODUCT($G7:$G9964,$H7:$H9964,O$7:O$9964)</f>
        <v/>
      </c>
      <c r="P6" s="31">
        <f>SUMPRODUCT($G7:$G9964,$H7:$H9964,P$7:P$9964)</f>
        <v/>
      </c>
      <c r="Q6" s="31">
        <f>SUMPRODUCT($G7:$G9964,$H7:$H9964,Q$7:Q$9964)</f>
        <v/>
      </c>
      <c r="R6" s="31">
        <f>SUMPRODUCT($G7:$G9964,$H7:$H9964,R$7:R$9964)</f>
        <v/>
      </c>
      <c r="S6" s="31">
        <f>SUMPRODUCT($G7:$G9964,$H7:$H9964,S$7:S$9964)</f>
        <v/>
      </c>
      <c r="T6" s="31">
        <f>SUMPRODUCT($G7:$G9964,$H7:$H9964,T$7:T$9964)</f>
        <v/>
      </c>
      <c r="U6" s="31">
        <f>SUMPRODUCT($G7:$G9964,$H7:$H9964,U$7:U$9964)</f>
        <v/>
      </c>
      <c r="V6" s="31">
        <f>SUMPRODUCT($G7:$G9964,$H7:$H9964,V$7:V$9964)</f>
        <v/>
      </c>
      <c r="W6" s="31">
        <f>SUMPRODUCT($G7:$G9964,$H7:$H9964,W$7:W$9964)</f>
        <v/>
      </c>
      <c r="X6" s="31">
        <f>SUMPRODUCT($G7:$G9964,$H7:$H9964,X$7:X$9964)</f>
        <v/>
      </c>
      <c r="Y6" s="31">
        <f>SUMPRODUCT($G7:$G9964,$H7:$H9964,Y$7:Y$9964)</f>
        <v/>
      </c>
      <c r="Z6" s="31">
        <f>SUMPRODUCT($G7:$G9964,$H7:$H9964,Z$7:Z$9964)</f>
        <v/>
      </c>
      <c r="AA6" s="31">
        <f>SUMPRODUCT($G7:$G9964,$H7:$H9964,AA$7:AA$9964)</f>
        <v/>
      </c>
      <c r="AB6" s="31">
        <f>SUMPRODUCT($G7:$G9964,$H7:$H9964,AB$7:AB$9964)</f>
        <v/>
      </c>
      <c r="AC6" s="31">
        <f>SUMPRODUCT($G7:$G9964,$H7:$H9964,AC$7:AC$9964)</f>
        <v/>
      </c>
      <c r="AD6" s="31">
        <f>SUMPRODUCT($G7:$G9964,$H7:$H9964,AD$7:AD$9964)</f>
        <v/>
      </c>
      <c r="AE6" s="31">
        <f>SUMPRODUCT($G7:$G9964,$H7:$H9964,AE$7:AE$9964)</f>
        <v/>
      </c>
      <c r="AF6" s="31">
        <f>SUMPRODUCT($G7:$G9964,$H7:$H9964,AF$7:AF$9964)</f>
        <v/>
      </c>
      <c r="AG6" s="31">
        <f>SUMPRODUCT($G7:$G9964,$H7:$H9964,AG$7:AG$9964)</f>
        <v/>
      </c>
      <c r="AH6" s="31">
        <f>SUMPRODUCT($G7:$G9964,$H7:$H9964,AH$7:AH$9964)</f>
        <v/>
      </c>
      <c r="AI6" s="31">
        <f>SUMPRODUCT($G7:$G9964,$H7:$H9964,AI$7:AI$9964)</f>
        <v/>
      </c>
      <c r="AJ6" s="31">
        <f>SUMPRODUCT($G7:$G9964,$H7:$H9964,AJ$7:AJ$9964)</f>
        <v/>
      </c>
      <c r="AK6" s="31">
        <f>SUMPRODUCT($G7:$G9964,$H7:$H9964,AK$7:AK$9964)</f>
        <v/>
      </c>
      <c r="AL6" s="31">
        <f>SUMPRODUCT($G7:$G9964,$H7:$H9964,AL$7:AL$9964)</f>
        <v/>
      </c>
      <c r="AM6" s="31">
        <f>SUMPRODUCT($G7:$G9964,$H7:$H9964,AM$7:AM$9964)</f>
        <v/>
      </c>
      <c r="AN6" s="31">
        <f>SUMPRODUCT($G7:$G9964,$H7:$H9964,AN$7:AN$9964)</f>
        <v/>
      </c>
      <c r="AO6" s="31">
        <f>SUMPRODUCT($G7:$G9964,$H7:$H9964,AO$7:AO$9964)</f>
        <v/>
      </c>
      <c r="AP6" s="31">
        <f>SUMPRODUCT($G7:$G9964,$H7:$H9964,AP$7:AP$9964)</f>
        <v/>
      </c>
      <c r="AQ6" s="31">
        <f>SUMPRODUCT($G7:$G9964,$H7:$H9964,AQ$7:AQ$9964)</f>
        <v/>
      </c>
      <c r="AR6" s="31">
        <f>SUMPRODUCT($G7:$G9964,$H7:$H9964,AR$7:AR$9964)</f>
        <v/>
      </c>
      <c r="AS6" s="31">
        <f>SUMPRODUCT($G7:$G9964,$H7:$H9964,AS$7:AS$9964)</f>
        <v/>
      </c>
      <c r="AT6" s="31">
        <f>SUMPRODUCT($G7:$G9964,$H7:$H9964,AT$7:AT$9964)</f>
        <v/>
      </c>
      <c r="AU6" s="31">
        <f>SUMPRODUCT($G7:$G9964,$H7:$H9964,AU$7:AU$9964)</f>
        <v/>
      </c>
      <c r="AV6" s="31">
        <f>SUMPRODUCT($G7:$G9964,$H7:$H9964,AV$7:AV$9964)</f>
        <v/>
      </c>
      <c r="AW6" s="31">
        <f>SUMPRODUCT($G7:$G9964,$H7:$H9964,AW$7:AW$9964)</f>
        <v/>
      </c>
      <c r="AX6" s="31">
        <f>SUMPRODUCT($G7:$G9964,$H7:$H9964,AX$7:AX$9964)</f>
        <v/>
      </c>
      <c r="AY6" s="31">
        <f>SUMPRODUCT($G7:$G9964,$H7:$H9964,AY$7:AY$9964)</f>
        <v/>
      </c>
      <c r="AZ6" s="31">
        <f>SUMPRODUCT($G7:$G9964,$H7:$H9964,AZ$7:AZ$9964)</f>
        <v/>
      </c>
      <c r="BA6" s="31">
        <f>SUMPRODUCT($G7:$G9964,$H7:$H9964,BA$7:BA$9964)</f>
        <v/>
      </c>
      <c r="BB6" s="31">
        <f>SUMPRODUCT($G7:$G9964,$H7:$H9964,BB$7:BB$9964)</f>
        <v/>
      </c>
      <c r="BC6" s="31">
        <f>SUMPRODUCT($G7:$G9964,$H7:$H9964,BC$7:BC$9964)</f>
        <v/>
      </c>
      <c r="BD6" s="31">
        <f>SUMPRODUCT($G7:$G9964,$H7:$H9964,BD$7:BD$9964)</f>
        <v/>
      </c>
      <c r="BE6" s="31">
        <f>SUMPRODUCT($G7:$G9964,$H7:$H9964,BE$7:BE$9964)</f>
        <v/>
      </c>
      <c r="BF6" s="31">
        <f>SUMPRODUCT($G7:$G9964,$H7:$H9964,BF$7:BF$9964)</f>
        <v/>
      </c>
      <c r="BG6" s="31">
        <f>SUMPRODUCT($G7:$G9964,$H7:$H9964,BG$7:BG$9964)</f>
        <v/>
      </c>
      <c r="BH6" s="31">
        <f>SUMPRODUCT($G7:$G9964,$H7:$H9964,BH$7:BH$9964)</f>
        <v/>
      </c>
      <c r="BI6" s="31">
        <f>SUMPRODUCT($G7:$G9964,$H7:$H9964,BI$7:BI$9964)</f>
        <v/>
      </c>
      <c r="BJ6" s="31">
        <f>SUMPRODUCT($G7:$G9964,$H7:$H9964,BJ$7:BJ$9964)</f>
        <v/>
      </c>
      <c r="BK6" s="31">
        <f>SUMPRODUCT($G7:$G9964,$H7:$H9964,BK$7:BK$9964)</f>
        <v/>
      </c>
      <c r="BL6" s="31">
        <f>SUMPRODUCT($G7:$G9964,$H7:$H9964,BL$7:BL$9964)</f>
        <v/>
      </c>
      <c r="BM6" s="31">
        <f>SUMPRODUCT($G7:$G9964,$H7:$H9964,BM$7:BM$9964)</f>
        <v/>
      </c>
      <c r="BN6" s="31">
        <f>SUMPRODUCT($G7:$G9964,$H7:$H9964,BN$7:BN$9964)</f>
        <v/>
      </c>
      <c r="BO6" s="31">
        <f>SUMPRODUCT($G7:$G9964,$H7:$H9964,BO$7:BO$9964)</f>
        <v/>
      </c>
      <c r="BP6" s="31">
        <f>SUMPRODUCT($G7:$G9964,$H7:$H9964,BP$7:BP$9964)</f>
        <v/>
      </c>
      <c r="BQ6" s="31">
        <f>SUMPRODUCT($G7:$G9964,$H7:$H9964,BQ$7:BQ$9964)</f>
        <v/>
      </c>
    </row>
    <row r="7" ht="17.5" customHeight="1" s="91">
      <c r="A7" s="32" t="inlineStr">
        <is>
          <t>1.4.14.028</t>
        </is>
      </c>
      <c r="B7" s="32" t="n"/>
      <c r="C7" s="32" t="inlineStr">
        <is>
          <t>NM-202604090001</t>
        </is>
      </c>
      <c r="D7" s="32" t="inlineStr">
        <is>
          <t>WO-ZZ00020582</t>
        </is>
      </c>
      <c r="E7" s="33" t="inlineStr">
        <is>
          <t>维诺健纯棉240m</t>
        </is>
      </c>
      <c r="F7" t="inlineStr">
        <is>
          <t>M</t>
        </is>
      </c>
      <c r="G7" s="32" t="n">
        <v>8</v>
      </c>
      <c r="H7" s="32" t="n">
        <v>160</v>
      </c>
      <c r="I7" s="119" t="n">
        <v>46121</v>
      </c>
      <c r="J7" s="119" t="n">
        <v>46142</v>
      </c>
      <c r="K7" s="32">
        <f>625-390</f>
        <v/>
      </c>
      <c r="L7" s="32">
        <f>F6*G6*J6</f>
        <v/>
      </c>
      <c r="M7" s="32" t="n">
        <v>0</v>
      </c>
      <c r="N7" s="28" t="n"/>
      <c r="O7" s="28" t="n"/>
      <c r="P7" s="28" t="n">
        <v>133</v>
      </c>
      <c r="Q7" s="28" t="n">
        <v>102</v>
      </c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  <c r="AA7" s="28" t="n"/>
      <c r="AB7" s="28" t="n"/>
      <c r="AC7" s="28" t="n"/>
      <c r="AD7" s="28" t="n"/>
      <c r="AE7" s="28" t="n"/>
      <c r="AF7" s="28" t="n"/>
      <c r="AG7" s="28" t="n"/>
      <c r="AH7" s="28" t="n"/>
      <c r="AI7" s="28" t="n"/>
      <c r="AJ7" s="28" t="n"/>
      <c r="AK7" s="28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  <c r="BP7" s="28" t="n"/>
      <c r="BQ7" s="28" t="n"/>
    </row>
    <row r="8" ht="17.5" customHeight="1" s="91">
      <c r="A8" s="32" t="inlineStr">
        <is>
          <t>1.4.14.028</t>
        </is>
      </c>
      <c r="B8" s="32" t="n"/>
      <c r="C8" s="32" t="inlineStr">
        <is>
          <t>NM-20260414001</t>
        </is>
      </c>
      <c r="D8" s="32" t="inlineStr">
        <is>
          <t>WO-ZZ00020584</t>
        </is>
      </c>
      <c r="E8" s="33" t="inlineStr">
        <is>
          <t>维诺健纯棉240m</t>
        </is>
      </c>
      <c r="F8" t="inlineStr">
        <is>
          <t>M</t>
        </is>
      </c>
      <c r="G8" s="32" t="n">
        <v>8</v>
      </c>
      <c r="H8" s="32" t="n">
        <v>160</v>
      </c>
      <c r="I8" s="119" t="n">
        <v>46126</v>
      </c>
      <c r="J8" s="119" t="n">
        <v>46152</v>
      </c>
      <c r="K8" s="32" t="n">
        <v>625</v>
      </c>
      <c r="L8" s="32">
        <f>F7*G7*J7</f>
        <v/>
      </c>
      <c r="M8" s="32" t="n">
        <v>0</v>
      </c>
      <c r="N8" s="28" t="n"/>
      <c r="O8" s="28" t="n"/>
      <c r="P8" s="28" t="n"/>
      <c r="Q8" s="28" t="n">
        <v>31</v>
      </c>
      <c r="R8" s="28" t="n"/>
      <c r="S8" s="28" t="n">
        <v>133</v>
      </c>
      <c r="T8" s="28" t="n">
        <v>133</v>
      </c>
      <c r="U8" s="28" t="n">
        <v>133</v>
      </c>
      <c r="V8" s="28" t="n">
        <v>133</v>
      </c>
      <c r="W8" s="28" t="n">
        <v>62</v>
      </c>
      <c r="X8" s="28" t="n"/>
      <c r="Y8" s="28" t="n"/>
      <c r="Z8" s="28" t="n"/>
      <c r="AA8" s="28" t="n"/>
      <c r="AB8" s="28" t="n"/>
      <c r="AC8" s="28" t="n"/>
      <c r="AD8" s="28" t="n"/>
      <c r="AE8" s="28" t="n"/>
      <c r="AF8" s="28" t="n"/>
      <c r="AG8" s="28" t="n"/>
      <c r="AH8" s="28" t="n"/>
      <c r="AI8" s="28" t="n"/>
      <c r="AJ8" s="28" t="n"/>
      <c r="AK8" s="28" t="n"/>
      <c r="AL8" s="28" t="n"/>
      <c r="AM8" s="28" t="n"/>
      <c r="AN8" s="28" t="n"/>
      <c r="AO8" s="28" t="n"/>
      <c r="AP8" s="28" t="n"/>
      <c r="AQ8" s="28" t="n"/>
      <c r="AR8" s="28" t="n"/>
      <c r="AS8" s="28" t="n"/>
      <c r="AT8" s="28" t="n"/>
      <c r="AU8" s="28" t="n"/>
      <c r="AV8" s="28" t="n"/>
      <c r="AW8" s="28" t="n"/>
      <c r="AX8" s="28" t="n"/>
      <c r="AY8" s="28" t="n"/>
      <c r="AZ8" s="28" t="n"/>
      <c r="BA8" s="28" t="n"/>
      <c r="BB8" s="28" t="n"/>
      <c r="BC8" s="28" t="n"/>
      <c r="BD8" s="28" t="n"/>
      <c r="BE8" s="28" t="n"/>
      <c r="BF8" s="28" t="n"/>
      <c r="BG8" s="28" t="n"/>
      <c r="BH8" s="28" t="n"/>
      <c r="BI8" s="28" t="n"/>
      <c r="BJ8" s="28" t="n"/>
      <c r="BK8" s="28" t="n"/>
      <c r="BL8" s="28" t="n"/>
      <c r="BM8" s="28" t="n"/>
      <c r="BN8" s="28" t="n"/>
      <c r="BO8" s="28" t="n"/>
      <c r="BP8" s="28" t="n"/>
      <c r="BQ8" s="28" t="n"/>
    </row>
    <row r="9" ht="17.5" customHeight="1" s="91">
      <c r="A9" s="32" t="inlineStr">
        <is>
          <t>1.4.14.027</t>
        </is>
      </c>
      <c r="B9" s="32" t="n"/>
      <c r="C9" s="32" t="inlineStr">
        <is>
          <t>NM-20260414001</t>
        </is>
      </c>
      <c r="D9" s="32" t="inlineStr">
        <is>
          <t>WO-ZZ00020583</t>
        </is>
      </c>
      <c r="E9" s="33" t="inlineStr">
        <is>
          <t>维诺健蚕丝240mm（8片*160包）—ZQ</t>
        </is>
      </c>
      <c r="G9" s="32" t="n">
        <v>8</v>
      </c>
      <c r="H9" s="32" t="n">
        <v>160</v>
      </c>
      <c r="I9" s="119" t="n">
        <v>46126</v>
      </c>
      <c r="J9" s="119" t="n">
        <v>46152</v>
      </c>
      <c r="K9" s="32" t="n">
        <v>1000</v>
      </c>
      <c r="L9" s="32">
        <f>F8*G8*J8</f>
        <v/>
      </c>
      <c r="M9" s="32" t="n">
        <v>0</v>
      </c>
      <c r="N9" s="28" t="n"/>
      <c r="O9" s="28" t="n"/>
      <c r="P9" s="28" t="n"/>
      <c r="Q9" s="28" t="n"/>
      <c r="R9" s="28" t="n"/>
      <c r="S9" s="28" t="n"/>
      <c r="T9" s="28" t="n"/>
      <c r="U9" s="28" t="n"/>
      <c r="V9" s="28" t="n"/>
      <c r="W9" s="28" t="n">
        <v>71</v>
      </c>
      <c r="X9" s="28" t="n">
        <v>133</v>
      </c>
      <c r="Y9" s="28" t="n"/>
      <c r="Z9" s="28" t="n">
        <v>133</v>
      </c>
      <c r="AA9" s="28" t="n">
        <v>133</v>
      </c>
      <c r="AB9" s="28" t="n">
        <v>133</v>
      </c>
      <c r="AC9" s="28" t="n">
        <v>133</v>
      </c>
      <c r="AD9" s="28" t="n">
        <v>133</v>
      </c>
      <c r="AE9" s="28" t="n">
        <v>131</v>
      </c>
      <c r="AF9" s="28" t="n"/>
      <c r="AG9" s="28" t="n"/>
      <c r="AH9" s="28" t="n"/>
      <c r="AI9" s="28" t="n"/>
      <c r="AJ9" s="28" t="n"/>
      <c r="AK9" s="28" t="n"/>
      <c r="AL9" s="28" t="n"/>
      <c r="AM9" s="28" t="n"/>
      <c r="AN9" s="28" t="n"/>
      <c r="AO9" s="28" t="n"/>
      <c r="AP9" s="28" t="n"/>
      <c r="AQ9" s="28" t="n"/>
      <c r="AR9" s="28" t="n"/>
      <c r="AS9" s="28" t="n"/>
      <c r="AT9" s="28" t="n"/>
      <c r="AU9" s="28" t="n"/>
      <c r="AV9" s="28" t="n"/>
      <c r="AW9" s="28" t="n"/>
      <c r="AX9" s="28" t="n"/>
      <c r="AY9" s="28" t="n"/>
      <c r="AZ9" s="28" t="n"/>
      <c r="BA9" s="28" t="n"/>
      <c r="BB9" s="28" t="n"/>
      <c r="BC9" s="28" t="n"/>
      <c r="BD9" s="28" t="n"/>
      <c r="BE9" s="28" t="n"/>
      <c r="BF9" s="28" t="n"/>
      <c r="BG9" s="28" t="n"/>
      <c r="BH9" s="28" t="n"/>
      <c r="BI9" s="28" t="n"/>
      <c r="BJ9" s="28" t="n"/>
      <c r="BK9" s="28" t="n"/>
      <c r="BL9" s="28" t="n"/>
      <c r="BM9" s="28" t="n"/>
      <c r="BN9" s="28" t="n"/>
      <c r="BO9" s="28" t="n"/>
      <c r="BP9" s="28" t="n"/>
      <c r="BQ9" s="28" t="n"/>
    </row>
    <row r="10" ht="18" customHeight="1" s="91">
      <c r="A10" s="35" t="inlineStr">
        <is>
          <t>1.4.18.012</t>
        </is>
      </c>
      <c r="B10" s="35" t="n"/>
      <c r="C10" s="35" t="inlineStr">
        <is>
          <t>DV-SY260401</t>
        </is>
      </c>
      <c r="D10" s="35" t="inlineStr">
        <is>
          <t>WO-ZZ00020609</t>
        </is>
      </c>
      <c r="E10" s="21" t="inlineStr">
        <is>
          <t>Seiyo sanitary pads 310 2025版</t>
        </is>
      </c>
      <c r="G10" s="19" t="n">
        <v>8</v>
      </c>
      <c r="H10" s="19" t="n">
        <v>12</v>
      </c>
      <c r="I10" s="116" t="n">
        <v>46134</v>
      </c>
      <c r="J10" s="117" t="n">
        <v>46173</v>
      </c>
      <c r="K10" s="19" t="n">
        <v>2084</v>
      </c>
      <c r="L10" s="19">
        <f>F9*G9*J9</f>
        <v/>
      </c>
      <c r="M10" s="19" t="n">
        <v>0</v>
      </c>
      <c r="N10" s="28" t="n"/>
      <c r="O10" s="28" t="n"/>
      <c r="P10" s="28" t="n"/>
      <c r="Q10" s="28" t="n"/>
      <c r="R10" s="28" t="n"/>
      <c r="S10" s="28" t="n"/>
      <c r="T10" s="28" t="n"/>
      <c r="U10" s="28" t="n"/>
      <c r="V10" s="28" t="n"/>
      <c r="W10" s="28" t="n"/>
      <c r="X10" s="28" t="n"/>
      <c r="Y10" s="28" t="n"/>
      <c r="Z10" s="28" t="n"/>
      <c r="AA10" s="28" t="n"/>
      <c r="AB10" s="28" t="n"/>
      <c r="AC10" s="28" t="n"/>
      <c r="AD10" s="28" t="n"/>
      <c r="AE10" s="28" t="n">
        <v>24</v>
      </c>
      <c r="AF10" s="28" t="n"/>
      <c r="AG10" s="28" t="n">
        <v>1771</v>
      </c>
      <c r="AH10" s="28" t="n">
        <v>289</v>
      </c>
      <c r="AI10" s="28" t="n"/>
      <c r="AJ10" s="28" t="n"/>
      <c r="AK10" s="28" t="n"/>
      <c r="AL10" s="28" t="n"/>
      <c r="AM10" s="28" t="n"/>
      <c r="AN10" s="28" t="n"/>
      <c r="AO10" s="28" t="n"/>
      <c r="AP10" s="28" t="n"/>
      <c r="AQ10" s="28" t="n"/>
      <c r="AR10" s="28" t="n"/>
      <c r="AS10" s="28" t="n"/>
      <c r="AT10" s="28" t="n"/>
      <c r="AU10" s="28" t="n"/>
      <c r="AV10" s="28" t="n"/>
      <c r="AW10" s="28" t="n"/>
      <c r="AX10" s="28" t="n"/>
      <c r="AY10" s="28" t="n"/>
      <c r="AZ10" s="28" t="n"/>
      <c r="BA10" s="28" t="n"/>
      <c r="BB10" s="28" t="n"/>
      <c r="BC10" s="28" t="n"/>
      <c r="BD10" s="28" t="n"/>
      <c r="BE10" s="28" t="n"/>
      <c r="BF10" s="28" t="n"/>
      <c r="BG10" s="28" t="n"/>
      <c r="BH10" s="28" t="n"/>
      <c r="BI10" s="28" t="n"/>
      <c r="BJ10" s="28" t="n"/>
      <c r="BK10" s="28" t="n"/>
      <c r="BL10" s="28" t="n"/>
      <c r="BM10" s="28" t="n"/>
      <c r="BN10" s="28" t="n"/>
      <c r="BO10" s="28" t="n"/>
      <c r="BP10" s="28" t="n"/>
      <c r="BQ10" s="28" t="n"/>
    </row>
    <row r="11" ht="17.5" customHeight="1" s="91"/>
    <row r="12" ht="17.5" customHeight="1" s="91">
      <c r="A12" s="37" t="inlineStr">
        <is>
          <t>1.4.14.028</t>
        </is>
      </c>
      <c r="B12" s="37" t="n"/>
      <c r="C12" s="37" t="n"/>
      <c r="D12" s="37" t="n"/>
      <c r="E12" s="38" t="inlineStr">
        <is>
          <t>维诺健纯棉240m</t>
        </is>
      </c>
      <c r="F12" t="inlineStr">
        <is>
          <t>M</t>
        </is>
      </c>
      <c r="G12" s="37" t="n">
        <v>8</v>
      </c>
      <c r="H12" s="37" t="n">
        <v>160</v>
      </c>
      <c r="I12" s="121" t="n">
        <v>46148</v>
      </c>
      <c r="J12" s="121" t="n"/>
      <c r="K12" s="37" t="n">
        <v>1250</v>
      </c>
      <c r="L12" s="37">
        <f>F11*G11*J11</f>
        <v/>
      </c>
      <c r="M12" s="37" t="n"/>
      <c r="N12" s="28" t="n"/>
      <c r="O12" s="28" t="n"/>
      <c r="P12" s="28" t="n"/>
      <c r="Q12" s="28" t="n"/>
      <c r="R12" s="28" t="n"/>
      <c r="S12" s="28" t="n"/>
      <c r="T12" s="28" t="n"/>
      <c r="U12" s="28" t="n"/>
      <c r="V12" s="28" t="n"/>
      <c r="W12" s="28" t="n"/>
      <c r="X12" s="28" t="n"/>
      <c r="Y12" s="28" t="n"/>
      <c r="Z12" s="28" t="n"/>
      <c r="AA12" s="28" t="n"/>
      <c r="AB12" s="28" t="n"/>
      <c r="AC12" s="28" t="n"/>
      <c r="AD12" s="28" t="n"/>
      <c r="AE12" s="28" t="n"/>
      <c r="AF12" s="28" t="n"/>
      <c r="AG12" s="28" t="n"/>
      <c r="AH12" s="28" t="n"/>
      <c r="AI12" s="28" t="n"/>
      <c r="AJ12" s="28" t="n"/>
      <c r="AK12" s="28" t="n"/>
      <c r="AL12" s="28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8" t="n"/>
      <c r="BA12" s="28" t="n"/>
      <c r="BB12" s="28" t="n"/>
      <c r="BC12" s="28" t="n"/>
      <c r="BD12" s="28" t="n"/>
      <c r="BE12" s="28" t="n"/>
      <c r="BF12" s="28" t="n"/>
      <c r="BG12" s="28" t="n"/>
      <c r="BH12" s="28" t="n"/>
      <c r="BI12" s="28" t="n"/>
      <c r="BJ12" s="28" t="n"/>
      <c r="BK12" s="28" t="n"/>
      <c r="BL12" s="28" t="n"/>
      <c r="BM12" s="28" t="n"/>
      <c r="BN12" s="28" t="n"/>
      <c r="BO12" s="28" t="n"/>
      <c r="BP12" s="28" t="n"/>
      <c r="BQ12" s="28" t="n"/>
    </row>
    <row r="13" ht="18" customHeight="1" s="91">
      <c r="A13" s="37" t="inlineStr">
        <is>
          <t>1.4.14.027</t>
        </is>
      </c>
      <c r="B13" s="37" t="n"/>
      <c r="C13" s="37" t="n"/>
      <c r="D13" s="37" t="n"/>
      <c r="E13" s="38" t="inlineStr">
        <is>
          <t>维诺健蚕丝240mm（8片*160包）—ZQ</t>
        </is>
      </c>
      <c r="G13" s="37" t="n">
        <v>8</v>
      </c>
      <c r="H13" s="37" t="n">
        <v>160</v>
      </c>
      <c r="I13" s="121" t="n">
        <v>46148</v>
      </c>
      <c r="J13" s="121" t="n"/>
      <c r="K13" s="37" t="n">
        <v>2500</v>
      </c>
      <c r="L13" s="37">
        <f>F12*G12*J12</f>
        <v/>
      </c>
      <c r="M13" s="37" t="n"/>
      <c r="N13" s="28" t="n"/>
      <c r="O13" s="28" t="n"/>
      <c r="P13" s="28" t="n"/>
      <c r="Q13" s="28" t="n"/>
      <c r="R13" s="28" t="n"/>
      <c r="S13" s="28" t="n"/>
      <c r="T13" s="28" t="n"/>
      <c r="U13" s="28" t="n"/>
      <c r="V13" s="28" t="n"/>
      <c r="W13" s="28" t="n"/>
      <c r="X13" s="28" t="n"/>
      <c r="Y13" s="28" t="n"/>
      <c r="Z13" s="28" t="n"/>
      <c r="AA13" s="28" t="n"/>
      <c r="AB13" s="28" t="n"/>
      <c r="AC13" s="28" t="n"/>
      <c r="AD13" s="28" t="n"/>
      <c r="AE13" s="28" t="n"/>
      <c r="AF13" s="28" t="n"/>
      <c r="AG13" s="28" t="n"/>
      <c r="AH13" s="28" t="n"/>
      <c r="AI13" s="28" t="n"/>
      <c r="AJ13" s="28" t="n"/>
      <c r="AK13" s="28" t="n"/>
      <c r="AL13" s="28" t="n"/>
      <c r="AM13" s="28" t="n"/>
      <c r="AN13" s="28" t="n"/>
      <c r="AO13" s="28" t="n"/>
      <c r="AP13" s="28" t="n"/>
      <c r="AQ13" s="28" t="n"/>
      <c r="AR13" s="28" t="n"/>
      <c r="AS13" s="28" t="n"/>
      <c r="AT13" s="28" t="n"/>
      <c r="AU13" s="28" t="n"/>
      <c r="AV13" s="28" t="n"/>
      <c r="AW13" s="28" t="n"/>
      <c r="AX13" s="28" t="n"/>
      <c r="AY13" s="28" t="n"/>
      <c r="AZ13" s="28" t="n"/>
      <c r="BA13" s="28" t="n"/>
      <c r="BB13" s="28" t="n"/>
      <c r="BC13" s="28" t="n"/>
      <c r="BD13" s="28" t="n"/>
      <c r="BE13" s="28" t="n"/>
      <c r="BF13" s="28" t="n"/>
      <c r="BG13" s="28" t="n"/>
      <c r="BH13" s="28" t="n"/>
      <c r="BI13" s="28" t="n"/>
      <c r="BJ13" s="28" t="n"/>
      <c r="BK13" s="28" t="n"/>
      <c r="BL13" s="28" t="n"/>
      <c r="BM13" s="28" t="n"/>
      <c r="BN13" s="28" t="n"/>
      <c r="BO13" s="28" t="n"/>
      <c r="BP13" s="28" t="n"/>
      <c r="BQ13" s="28" t="n"/>
    </row>
  </sheetData>
  <mergeCells count="3">
    <mergeCell ref="A1:H4"/>
    <mergeCell ref="I3:J4"/>
    <mergeCell ref="F5:G5"/>
  </mergeCells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10">
    <outlinePr summaryBelow="1" summaryRight="1"/>
    <pageSetUpPr/>
  </sheetPr>
  <dimension ref="A1:BQ14"/>
  <sheetViews>
    <sheetView showGridLines="0" zoomScale="70" zoomScaleNormal="70" workbookViewId="0">
      <pane xSplit="11" ySplit="5" topLeftCell="L6" activePane="bottomRight" state="frozen"/>
      <selection pane="topRight" activeCell="A1" sqref="A1"/>
      <selection pane="bottomLeft" activeCell="A1" sqref="A1"/>
      <selection pane="bottomRight" activeCell="R13" sqref="R13"/>
    </sheetView>
  </sheetViews>
  <sheetFormatPr baseColWidth="10" defaultColWidth="8.83203125" defaultRowHeight="15"/>
  <cols>
    <col width="17.83203125" customWidth="1" style="91" min="1" max="1"/>
    <col width="7.1640625" customWidth="1" style="91" min="2" max="2"/>
    <col width="8.6640625" customWidth="1" style="91" min="3" max="3"/>
    <col width="23.83203125" customWidth="1" style="91" min="4" max="4"/>
    <col width="39.6640625" customWidth="1" style="91" min="5" max="5"/>
    <col width="9.33203125" customWidth="1" style="3" min="8" max="8"/>
    <col width="10.1640625" customWidth="1" style="3" min="9" max="9"/>
    <col width="11.83203125" customWidth="1" style="91" min="10" max="10"/>
    <col width="12.83203125" customWidth="1" style="91" min="11" max="11"/>
    <col width="15.33203125" customWidth="1" style="91" min="12" max="12"/>
    <col width="9" customWidth="1" style="91" min="13" max="68"/>
  </cols>
  <sheetData>
    <row r="1" ht="16.25" customFormat="1" customHeight="1" s="101">
      <c r="A1" s="100" t="inlineStr">
        <is>
          <t>BD-2#婴裤</t>
        </is>
      </c>
      <c r="J1" s="4" t="inlineStr">
        <is>
          <t>单班</t>
        </is>
      </c>
      <c r="K1" s="4" t="n">
        <v>200000</v>
      </c>
      <c r="L1" s="5" t="inlineStr">
        <is>
          <t>未排产计划</t>
        </is>
      </c>
      <c r="M1" s="107" t="n"/>
    </row>
    <row r="2" ht="16.25" customFormat="1" customHeight="1" s="101">
      <c r="J2" s="4" t="inlineStr">
        <is>
          <t>双班</t>
        </is>
      </c>
      <c r="K2" s="4" t="n">
        <v>350000</v>
      </c>
      <c r="L2" s="5" t="inlineStr">
        <is>
          <t>4月排产计划</t>
        </is>
      </c>
      <c r="M2" s="108">
        <f>SUM(#REF!)</f>
        <v/>
      </c>
      <c r="N2" s="109" t="inlineStr">
        <is>
          <t>单</t>
        </is>
      </c>
      <c r="O2" s="109" t="inlineStr">
        <is>
          <t>单</t>
        </is>
      </c>
      <c r="P2" s="109" t="inlineStr">
        <is>
          <t>单</t>
        </is>
      </c>
      <c r="Q2" s="109" t="inlineStr">
        <is>
          <t>单</t>
        </is>
      </c>
      <c r="R2" s="109" t="inlineStr"/>
      <c r="S2" s="109" t="inlineStr">
        <is>
          <t>单</t>
        </is>
      </c>
      <c r="T2" s="109" t="inlineStr">
        <is>
          <t>单</t>
        </is>
      </c>
      <c r="U2" s="109" t="inlineStr">
        <is>
          <t>单</t>
        </is>
      </c>
      <c r="V2" s="109" t="inlineStr">
        <is>
          <t>单</t>
        </is>
      </c>
      <c r="W2" s="109" t="inlineStr">
        <is>
          <t>单</t>
        </is>
      </c>
      <c r="X2" s="109" t="inlineStr">
        <is>
          <t>单</t>
        </is>
      </c>
      <c r="Y2" s="109" t="inlineStr"/>
      <c r="Z2" s="109" t="inlineStr">
        <is>
          <t>单</t>
        </is>
      </c>
      <c r="AA2" s="109" t="inlineStr">
        <is>
          <t>单</t>
        </is>
      </c>
      <c r="AB2" s="109" t="inlineStr">
        <is>
          <t>单</t>
        </is>
      </c>
      <c r="AC2" s="109" t="inlineStr">
        <is>
          <t>单</t>
        </is>
      </c>
      <c r="AD2" s="109" t="inlineStr">
        <is>
          <t>单</t>
        </is>
      </c>
      <c r="AE2" s="109" t="inlineStr">
        <is>
          <t>单</t>
        </is>
      </c>
      <c r="AF2" s="109" t="inlineStr"/>
      <c r="AG2" s="109" t="inlineStr">
        <is>
          <t>单</t>
        </is>
      </c>
      <c r="AH2" s="109" t="inlineStr">
        <is>
          <t>单</t>
        </is>
      </c>
      <c r="AI2" s="109" t="inlineStr">
        <is>
          <t>单</t>
        </is>
      </c>
      <c r="AJ2" s="109" t="inlineStr">
        <is>
          <t>单</t>
        </is>
      </c>
      <c r="AK2" s="109" t="inlineStr">
        <is>
          <t>单</t>
        </is>
      </c>
      <c r="AL2" s="109" t="inlineStr">
        <is>
          <t>单</t>
        </is>
      </c>
      <c r="AM2" s="109" t="inlineStr"/>
      <c r="AN2" s="109" t="inlineStr">
        <is>
          <t>单</t>
        </is>
      </c>
      <c r="AO2" s="109" t="inlineStr">
        <is>
          <t>单</t>
        </is>
      </c>
      <c r="AP2" s="109" t="inlineStr">
        <is>
          <t>单</t>
        </is>
      </c>
      <c r="AQ2" s="109" t="inlineStr">
        <is>
          <t>单</t>
        </is>
      </c>
      <c r="AR2" s="109" t="inlineStr">
        <is>
          <t>单</t>
        </is>
      </c>
      <c r="AS2" s="109" t="inlineStr">
        <is>
          <t>单</t>
        </is>
      </c>
      <c r="AT2" s="109" t="inlineStr"/>
      <c r="AU2" s="109" t="inlineStr">
        <is>
          <t>单</t>
        </is>
      </c>
      <c r="AV2" s="109" t="inlineStr">
        <is>
          <t>单</t>
        </is>
      </c>
      <c r="AW2" s="109" t="inlineStr">
        <is>
          <t>单</t>
        </is>
      </c>
      <c r="AX2" s="109" t="inlineStr">
        <is>
          <t>单</t>
        </is>
      </c>
      <c r="AY2" s="109" t="inlineStr">
        <is>
          <t>单</t>
        </is>
      </c>
      <c r="AZ2" s="109" t="inlineStr">
        <is>
          <t>单</t>
        </is>
      </c>
      <c r="BA2" s="109" t="inlineStr"/>
      <c r="BB2" s="109" t="inlineStr">
        <is>
          <t>单</t>
        </is>
      </c>
      <c r="BC2" s="109" t="inlineStr">
        <is>
          <t>单</t>
        </is>
      </c>
      <c r="BD2" s="109" t="inlineStr">
        <is>
          <t>单</t>
        </is>
      </c>
      <c r="BE2" s="109" t="inlineStr">
        <is>
          <t>单</t>
        </is>
      </c>
      <c r="BF2" s="109" t="inlineStr">
        <is>
          <t>单</t>
        </is>
      </c>
      <c r="BG2" s="109" t="inlineStr">
        <is>
          <t>单</t>
        </is>
      </c>
      <c r="BH2" s="109" t="inlineStr"/>
      <c r="BI2" s="109" t="inlineStr">
        <is>
          <t>单</t>
        </is>
      </c>
      <c r="BJ2" s="109" t="inlineStr">
        <is>
          <t>单</t>
        </is>
      </c>
      <c r="BK2" s="109" t="inlineStr">
        <is>
          <t>单</t>
        </is>
      </c>
      <c r="BL2" s="109" t="inlineStr">
        <is>
          <t>单</t>
        </is>
      </c>
      <c r="BM2" s="109" t="inlineStr">
        <is>
          <t>单</t>
        </is>
      </c>
      <c r="BN2" s="109" t="inlineStr">
        <is>
          <t>单</t>
        </is>
      </c>
      <c r="BO2" s="109" t="inlineStr">
        <is>
          <t>单</t>
        </is>
      </c>
      <c r="BP2" s="109" t="inlineStr">
        <is>
          <t>单</t>
        </is>
      </c>
      <c r="BQ2" s="109" t="inlineStr">
        <is>
          <t>单</t>
        </is>
      </c>
    </row>
    <row r="3" ht="17" customFormat="1" customHeight="1" s="101">
      <c r="J3" s="102" t="n"/>
      <c r="K3" s="103" t="n"/>
      <c r="N3" s="0">
        <f>MAX(0,ROWS(UNIQUE(FILTER($F7:$F14,(N7:N14&gt;0)*($F7:$F14&lt;&gt;""))))-1)*IF(N2="双",VLOOKUP($A$1,'换码设置'!$A:$C,2,FALSE),IF(N2="单",VLOOKUP($A$1,'换码设置'!$A:$C,3,FALSE),0))</f>
        <v/>
      </c>
      <c r="O3" s="0">
        <f>MAX(0,ROWS(UNIQUE(FILTER($F7:$F14,(O7:O14&gt;0)*($F7:$F14&lt;&gt;""))))-1)*IF(O2="双",VLOOKUP($A$1,'换码设置'!$A:$C,2,FALSE),IF(O2="单",VLOOKUP($A$1,'换码设置'!$A:$C,3,FALSE),0))</f>
        <v/>
      </c>
      <c r="P3" s="0">
        <f>MAX(0,ROWS(UNIQUE(FILTER($F7:$F14,(P7:P14&gt;0)*($F7:$F14&lt;&gt;""))))-1)*IF(P2="双",VLOOKUP($A$1,'换码设置'!$A:$C,2,FALSE),IF(P2="单",VLOOKUP($A$1,'换码设置'!$A:$C,3,FALSE),0))</f>
        <v/>
      </c>
      <c r="Q3" s="0">
        <f>MAX(0,ROWS(UNIQUE(FILTER($F7:$F14,(Q7:Q14&gt;0)*($F7:$F14&lt;&gt;""))))-1)*IF(Q2="双",VLOOKUP($A$1,'换码设置'!$A:$C,2,FALSE),IF(Q2="单",VLOOKUP($A$1,'换码设置'!$A:$C,3,FALSE),0))</f>
        <v/>
      </c>
      <c r="R3" s="0">
        <f>MAX(0,ROWS(UNIQUE(FILTER($F7:$F14,(R7:R14&gt;0)*($F7:$F14&lt;&gt;""))))-1)*IF(R2="双",VLOOKUP($A$1,'换码设置'!$A:$C,2,FALSE),IF(R2="单",VLOOKUP($A$1,'换码设置'!$A:$C,3,FALSE),0))</f>
        <v/>
      </c>
      <c r="S3" s="0">
        <f>MAX(0,ROWS(UNIQUE(FILTER($F7:$F14,(S7:S14&gt;0)*($F7:$F14&lt;&gt;""))))-1)*IF(S2="双",VLOOKUP($A$1,'换码设置'!$A:$C,2,FALSE),IF(S2="单",VLOOKUP($A$1,'换码设置'!$A:$C,3,FALSE),0))</f>
        <v/>
      </c>
      <c r="T3" s="0">
        <f>MAX(0,ROWS(UNIQUE(FILTER($F7:$F14,(T7:T14&gt;0)*($F7:$F14&lt;&gt;""))))-1)*IF(T2="双",VLOOKUP($A$1,'换码设置'!$A:$C,2,FALSE),IF(T2="单",VLOOKUP($A$1,'换码设置'!$A:$C,3,FALSE),0))</f>
        <v/>
      </c>
      <c r="U3" s="0">
        <f>MAX(0,ROWS(UNIQUE(FILTER($F7:$F14,(U7:U14&gt;0)*($F7:$F14&lt;&gt;""))))-1)*IF(U2="双",VLOOKUP($A$1,'换码设置'!$A:$C,2,FALSE),IF(U2="单",VLOOKUP($A$1,'换码设置'!$A:$C,3,FALSE),0))</f>
        <v/>
      </c>
      <c r="V3" s="0">
        <f>MAX(0,ROWS(UNIQUE(FILTER($F7:$F14,(V7:V14&gt;0)*($F7:$F14&lt;&gt;""))))-1)*IF(V2="双",VLOOKUP($A$1,'换码设置'!$A:$C,2,FALSE),IF(V2="单",VLOOKUP($A$1,'换码设置'!$A:$C,3,FALSE),0))</f>
        <v/>
      </c>
      <c r="W3" s="0">
        <f>MAX(0,ROWS(UNIQUE(FILTER($F7:$F14,(W7:W14&gt;0)*($F7:$F14&lt;&gt;""))))-1)*IF(W2="双",VLOOKUP($A$1,'换码设置'!$A:$C,2,FALSE),IF(W2="单",VLOOKUP($A$1,'换码设置'!$A:$C,3,FALSE),0))</f>
        <v/>
      </c>
      <c r="X3" s="0">
        <f>MAX(0,ROWS(UNIQUE(FILTER($F7:$F14,(X7:X14&gt;0)*($F7:$F14&lt;&gt;""))))-1)*IF(X2="双",VLOOKUP($A$1,'换码设置'!$A:$C,2,FALSE),IF(X2="单",VLOOKUP($A$1,'换码设置'!$A:$C,3,FALSE),0))</f>
        <v/>
      </c>
      <c r="Y3" s="0">
        <f>MAX(0,ROWS(UNIQUE(FILTER($F7:$F14,(Y7:Y14&gt;0)*($F7:$F14&lt;&gt;""))))-1)*IF(Y2="双",VLOOKUP($A$1,'换码设置'!$A:$C,2,FALSE),IF(Y2="单",VLOOKUP($A$1,'换码设置'!$A:$C,3,FALSE),0))</f>
        <v/>
      </c>
      <c r="Z3" s="0">
        <f>MAX(0,ROWS(UNIQUE(FILTER($F7:$F14,(Z7:Z14&gt;0)*($F7:$F14&lt;&gt;""))))-1)*IF(Z2="双",VLOOKUP($A$1,'换码设置'!$A:$C,2,FALSE),IF(Z2="单",VLOOKUP($A$1,'换码设置'!$A:$C,3,FALSE),0))</f>
        <v/>
      </c>
      <c r="AA3" s="0">
        <f>MAX(0,ROWS(UNIQUE(FILTER($F7:$F14,(AA7:AA14&gt;0)*($F7:$F14&lt;&gt;""))))-1)*IF(AA2="双",VLOOKUP($A$1,'换码设置'!$A:$C,2,FALSE),IF(AA2="单",VLOOKUP($A$1,'换码设置'!$A:$C,3,FALSE),0))</f>
        <v/>
      </c>
      <c r="AB3" s="0">
        <f>MAX(0,ROWS(UNIQUE(FILTER($F7:$F14,(AB7:AB14&gt;0)*($F7:$F14&lt;&gt;""))))-1)*IF(AB2="双",VLOOKUP($A$1,'换码设置'!$A:$C,2,FALSE),IF(AB2="单",VLOOKUP($A$1,'换码设置'!$A:$C,3,FALSE),0))</f>
        <v/>
      </c>
      <c r="AC3" s="0">
        <f>MAX(0,ROWS(UNIQUE(FILTER($F7:$F14,(AC7:AC14&gt;0)*($F7:$F14&lt;&gt;""))))-1)*IF(AC2="双",VLOOKUP($A$1,'换码设置'!$A:$C,2,FALSE),IF(AC2="单",VLOOKUP($A$1,'换码设置'!$A:$C,3,FALSE),0))</f>
        <v/>
      </c>
      <c r="AD3" s="0">
        <f>MAX(0,ROWS(UNIQUE(FILTER($F7:$F14,(AD7:AD14&gt;0)*($F7:$F14&lt;&gt;""))))-1)*IF(AD2="双",VLOOKUP($A$1,'换码设置'!$A:$C,2,FALSE),IF(AD2="单",VLOOKUP($A$1,'换码设置'!$A:$C,3,FALSE),0))</f>
        <v/>
      </c>
      <c r="AE3" s="0">
        <f>MAX(0,ROWS(UNIQUE(FILTER($F7:$F14,(AE7:AE14&gt;0)*($F7:$F14&lt;&gt;""))))-1)*IF(AE2="双",VLOOKUP($A$1,'换码设置'!$A:$C,2,FALSE),IF(AE2="单",VLOOKUP($A$1,'换码设置'!$A:$C,3,FALSE),0))</f>
        <v/>
      </c>
      <c r="AF3" s="0">
        <f>MAX(0,ROWS(UNIQUE(FILTER($F7:$F14,(AF7:AF14&gt;0)*($F7:$F14&lt;&gt;""))))-1)*IF(AF2="双",VLOOKUP($A$1,'换码设置'!$A:$C,2,FALSE),IF(AF2="单",VLOOKUP($A$1,'换码设置'!$A:$C,3,FALSE),0))</f>
        <v/>
      </c>
      <c r="AG3" s="0">
        <f>MAX(0,ROWS(UNIQUE(FILTER($F7:$F14,(AG7:AG14&gt;0)*($F7:$F14&lt;&gt;""))))-1)*IF(AG2="双",VLOOKUP($A$1,'换码设置'!$A:$C,2,FALSE),IF(AG2="单",VLOOKUP($A$1,'换码设置'!$A:$C,3,FALSE),0))</f>
        <v/>
      </c>
      <c r="AH3" s="0">
        <f>MAX(0,ROWS(UNIQUE(FILTER($F7:$F14,(AH7:AH14&gt;0)*($F7:$F14&lt;&gt;""))))-1)*IF(AH2="双",VLOOKUP($A$1,'换码设置'!$A:$C,2,FALSE),IF(AH2="单",VLOOKUP($A$1,'换码设置'!$A:$C,3,FALSE),0))</f>
        <v/>
      </c>
      <c r="AI3" s="0">
        <f>MAX(0,ROWS(UNIQUE(FILTER($F7:$F14,(AI7:AI14&gt;0)*($F7:$F14&lt;&gt;""))))-1)*IF(AI2="双",VLOOKUP($A$1,'换码设置'!$A:$C,2,FALSE),IF(AI2="单",VLOOKUP($A$1,'换码设置'!$A:$C,3,FALSE),0))</f>
        <v/>
      </c>
      <c r="AJ3" s="0">
        <f>MAX(0,ROWS(UNIQUE(FILTER($F7:$F14,(AJ7:AJ14&gt;0)*($F7:$F14&lt;&gt;""))))-1)*IF(AJ2="双",VLOOKUP($A$1,'换码设置'!$A:$C,2,FALSE),IF(AJ2="单",VLOOKUP($A$1,'换码设置'!$A:$C,3,FALSE),0))</f>
        <v/>
      </c>
      <c r="AK3" s="0">
        <f>MAX(0,ROWS(UNIQUE(FILTER($F7:$F14,(AK7:AK14&gt;0)*($F7:$F14&lt;&gt;""))))-1)*IF(AK2="双",VLOOKUP($A$1,'换码设置'!$A:$C,2,FALSE),IF(AK2="单",VLOOKUP($A$1,'换码设置'!$A:$C,3,FALSE),0))</f>
        <v/>
      </c>
      <c r="AL3" s="0">
        <f>MAX(0,ROWS(UNIQUE(FILTER($F7:$F14,(AL7:AL14&gt;0)*($F7:$F14&lt;&gt;""))))-1)*IF(AL2="双",VLOOKUP($A$1,'换码设置'!$A:$C,2,FALSE),IF(AL2="单",VLOOKUP($A$1,'换码设置'!$A:$C,3,FALSE),0))</f>
        <v/>
      </c>
      <c r="AM3" s="0">
        <f>MAX(0,ROWS(UNIQUE(FILTER($F7:$F14,(AM7:AM14&gt;0)*($F7:$F14&lt;&gt;""))))-1)*IF(AM2="双",VLOOKUP($A$1,'换码设置'!$A:$C,2,FALSE),IF(AM2="单",VLOOKUP($A$1,'换码设置'!$A:$C,3,FALSE),0))</f>
        <v/>
      </c>
      <c r="AN3" s="0">
        <f>MAX(0,ROWS(UNIQUE(FILTER($F7:$F14,(AN7:AN14&gt;0)*($F7:$F14&lt;&gt;""))))-1)*IF(AN2="双",VLOOKUP($A$1,'换码设置'!$A:$C,2,FALSE),IF(AN2="单",VLOOKUP($A$1,'换码设置'!$A:$C,3,FALSE),0))</f>
        <v/>
      </c>
      <c r="AO3" s="0">
        <f>MAX(0,ROWS(UNIQUE(FILTER($F7:$F14,(AO7:AO14&gt;0)*($F7:$F14&lt;&gt;""))))-1)*IF(AO2="双",VLOOKUP($A$1,'换码设置'!$A:$C,2,FALSE),IF(AO2="单",VLOOKUP($A$1,'换码设置'!$A:$C,3,FALSE),0))</f>
        <v/>
      </c>
      <c r="AP3" s="0">
        <f>MAX(0,ROWS(UNIQUE(FILTER($F7:$F14,(AP7:AP14&gt;0)*($F7:$F14&lt;&gt;""))))-1)*IF(AP2="双",VLOOKUP($A$1,'换码设置'!$A:$C,2,FALSE),IF(AP2="单",VLOOKUP($A$1,'换码设置'!$A:$C,3,FALSE),0))</f>
        <v/>
      </c>
      <c r="AQ3" s="0">
        <f>MAX(0,ROWS(UNIQUE(FILTER($F7:$F14,(AQ7:AQ14&gt;0)*($F7:$F14&lt;&gt;""))))-1)*IF(AQ2="双",VLOOKUP($A$1,'换码设置'!$A:$C,2,FALSE),IF(AQ2="单",VLOOKUP($A$1,'换码设置'!$A:$C,3,FALSE),0))</f>
        <v/>
      </c>
      <c r="AR3" s="0">
        <f>MAX(0,ROWS(UNIQUE(FILTER($F7:$F14,(AR7:AR14&gt;0)*($F7:$F14&lt;&gt;""))))-1)*IF(AR2="双",VLOOKUP($A$1,'换码设置'!$A:$C,2,FALSE),IF(AR2="单",VLOOKUP($A$1,'换码设置'!$A:$C,3,FALSE),0))</f>
        <v/>
      </c>
      <c r="AS3" s="0">
        <f>MAX(0,ROWS(UNIQUE(FILTER($F7:$F14,(AS7:AS14&gt;0)*($F7:$F14&lt;&gt;""))))-1)*IF(AS2="双",VLOOKUP($A$1,'换码设置'!$A:$C,2,FALSE),IF(AS2="单",VLOOKUP($A$1,'换码设置'!$A:$C,3,FALSE),0))</f>
        <v/>
      </c>
      <c r="AT3" s="0">
        <f>MAX(0,ROWS(UNIQUE(FILTER($F7:$F14,(AT7:AT14&gt;0)*($F7:$F14&lt;&gt;""))))-1)*IF(AT2="双",VLOOKUP($A$1,'换码设置'!$A:$C,2,FALSE),IF(AT2="单",VLOOKUP($A$1,'换码设置'!$A:$C,3,FALSE),0))</f>
        <v/>
      </c>
      <c r="AU3" s="0">
        <f>MAX(0,ROWS(UNIQUE(FILTER($F7:$F14,(AU7:AU14&gt;0)*($F7:$F14&lt;&gt;""))))-1)*IF(AU2="双",VLOOKUP($A$1,'换码设置'!$A:$C,2,FALSE),IF(AU2="单",VLOOKUP($A$1,'换码设置'!$A:$C,3,FALSE),0))</f>
        <v/>
      </c>
      <c r="AV3" s="0">
        <f>MAX(0,ROWS(UNIQUE(FILTER($F7:$F14,(AV7:AV14&gt;0)*($F7:$F14&lt;&gt;""))))-1)*IF(AV2="双",VLOOKUP($A$1,'换码设置'!$A:$C,2,FALSE),IF(AV2="单",VLOOKUP($A$1,'换码设置'!$A:$C,3,FALSE),0))</f>
        <v/>
      </c>
      <c r="AW3" s="0">
        <f>MAX(0,ROWS(UNIQUE(FILTER($F7:$F14,(AW7:AW14&gt;0)*($F7:$F14&lt;&gt;""))))-1)*IF(AW2="双",VLOOKUP($A$1,'换码设置'!$A:$C,2,FALSE),IF(AW2="单",VLOOKUP($A$1,'换码设置'!$A:$C,3,FALSE),0))</f>
        <v/>
      </c>
      <c r="AX3" s="0">
        <f>MAX(0,ROWS(UNIQUE(FILTER($F7:$F14,(AX7:AX14&gt;0)*($F7:$F14&lt;&gt;""))))-1)*IF(AX2="双",VLOOKUP($A$1,'换码设置'!$A:$C,2,FALSE),IF(AX2="单",VLOOKUP($A$1,'换码设置'!$A:$C,3,FALSE),0))</f>
        <v/>
      </c>
      <c r="AY3" s="0">
        <f>MAX(0,ROWS(UNIQUE(FILTER($F7:$F14,(AY7:AY14&gt;0)*($F7:$F14&lt;&gt;""))))-1)*IF(AY2="双",VLOOKUP($A$1,'换码设置'!$A:$C,2,FALSE),IF(AY2="单",VLOOKUP($A$1,'换码设置'!$A:$C,3,FALSE),0))</f>
        <v/>
      </c>
      <c r="AZ3" s="0">
        <f>MAX(0,ROWS(UNIQUE(FILTER($F7:$F14,(AZ7:AZ14&gt;0)*($F7:$F14&lt;&gt;""))))-1)*IF(AZ2="双",VLOOKUP($A$1,'换码设置'!$A:$C,2,FALSE),IF(AZ2="单",VLOOKUP($A$1,'换码设置'!$A:$C,3,FALSE),0))</f>
        <v/>
      </c>
      <c r="BA3" s="0">
        <f>MAX(0,ROWS(UNIQUE(FILTER($F7:$F14,(BA7:BA14&gt;0)*($F7:$F14&lt;&gt;""))))-1)*IF(BA2="双",VLOOKUP($A$1,'换码设置'!$A:$C,2,FALSE),IF(BA2="单",VLOOKUP($A$1,'换码设置'!$A:$C,3,FALSE),0))</f>
        <v/>
      </c>
      <c r="BB3" s="0">
        <f>MAX(0,ROWS(UNIQUE(FILTER($F7:$F14,(BB7:BB14&gt;0)*($F7:$F14&lt;&gt;""))))-1)*IF(BB2="双",VLOOKUP($A$1,'换码设置'!$A:$C,2,FALSE),IF(BB2="单",VLOOKUP($A$1,'换码设置'!$A:$C,3,FALSE),0))</f>
        <v/>
      </c>
      <c r="BC3" s="0">
        <f>MAX(0,ROWS(UNIQUE(FILTER($F7:$F14,(BC7:BC14&gt;0)*($F7:$F14&lt;&gt;""))))-1)*IF(BC2="双",VLOOKUP($A$1,'换码设置'!$A:$C,2,FALSE),IF(BC2="单",VLOOKUP($A$1,'换码设置'!$A:$C,3,FALSE),0))</f>
        <v/>
      </c>
      <c r="BD3" s="0">
        <f>MAX(0,ROWS(UNIQUE(FILTER($F7:$F14,(BD7:BD14&gt;0)*($F7:$F14&lt;&gt;""))))-1)*IF(BD2="双",VLOOKUP($A$1,'换码设置'!$A:$C,2,FALSE),IF(BD2="单",VLOOKUP($A$1,'换码设置'!$A:$C,3,FALSE),0))</f>
        <v/>
      </c>
      <c r="BE3" s="0">
        <f>MAX(0,ROWS(UNIQUE(FILTER($F7:$F14,(BE7:BE14&gt;0)*($F7:$F14&lt;&gt;""))))-1)*IF(BE2="双",VLOOKUP($A$1,'换码设置'!$A:$C,2,FALSE),IF(BE2="单",VLOOKUP($A$1,'换码设置'!$A:$C,3,FALSE),0))</f>
        <v/>
      </c>
      <c r="BF3" s="0">
        <f>MAX(0,ROWS(UNIQUE(FILTER($F7:$F14,(BF7:BF14&gt;0)*($F7:$F14&lt;&gt;""))))-1)*IF(BF2="双",VLOOKUP($A$1,'换码设置'!$A:$C,2,FALSE),IF(BF2="单",VLOOKUP($A$1,'换码设置'!$A:$C,3,FALSE),0))</f>
        <v/>
      </c>
      <c r="BG3" s="0">
        <f>MAX(0,ROWS(UNIQUE(FILTER($F7:$F14,(BG7:BG14&gt;0)*($F7:$F14&lt;&gt;""))))-1)*IF(BG2="双",VLOOKUP($A$1,'换码设置'!$A:$C,2,FALSE),IF(BG2="单",VLOOKUP($A$1,'换码设置'!$A:$C,3,FALSE),0))</f>
        <v/>
      </c>
      <c r="BH3" s="0">
        <f>MAX(0,ROWS(UNIQUE(FILTER($F7:$F14,(BH7:BH14&gt;0)*($F7:$F14&lt;&gt;""))))-1)*IF(BH2="双",VLOOKUP($A$1,'换码设置'!$A:$C,2,FALSE),IF(BH2="单",VLOOKUP($A$1,'换码设置'!$A:$C,3,FALSE),0))</f>
        <v/>
      </c>
      <c r="BI3" s="0">
        <f>MAX(0,ROWS(UNIQUE(FILTER($F7:$F14,(BI7:BI14&gt;0)*($F7:$F14&lt;&gt;""))))-1)*IF(BI2="双",VLOOKUP($A$1,'换码设置'!$A:$C,2,FALSE),IF(BI2="单",VLOOKUP($A$1,'换码设置'!$A:$C,3,FALSE),0))</f>
        <v/>
      </c>
      <c r="BJ3" s="0">
        <f>MAX(0,ROWS(UNIQUE(FILTER($F7:$F14,(BJ7:BJ14&gt;0)*($F7:$F14&lt;&gt;""))))-1)*IF(BJ2="双",VLOOKUP($A$1,'换码设置'!$A:$C,2,FALSE),IF(BJ2="单",VLOOKUP($A$1,'换码设置'!$A:$C,3,FALSE),0))</f>
        <v/>
      </c>
      <c r="BK3" s="0">
        <f>MAX(0,ROWS(UNIQUE(FILTER($F7:$F14,(BK7:BK14&gt;0)*($F7:$F14&lt;&gt;""))))-1)*IF(BK2="双",VLOOKUP($A$1,'换码设置'!$A:$C,2,FALSE),IF(BK2="单",VLOOKUP($A$1,'换码设置'!$A:$C,3,FALSE),0))</f>
        <v/>
      </c>
      <c r="BL3" s="0">
        <f>MAX(0,ROWS(UNIQUE(FILTER($F7:$F14,(BL7:BL14&gt;0)*($F7:$F14&lt;&gt;""))))-1)*IF(BL2="双",VLOOKUP($A$1,'换码设置'!$A:$C,2,FALSE),IF(BL2="单",VLOOKUP($A$1,'换码设置'!$A:$C,3,FALSE),0))</f>
        <v/>
      </c>
      <c r="BM3" s="0">
        <f>MAX(0,ROWS(UNIQUE(FILTER($F7:$F14,(BM7:BM14&gt;0)*($F7:$F14&lt;&gt;""))))-1)*IF(BM2="双",VLOOKUP($A$1,'换码设置'!$A:$C,2,FALSE),IF(BM2="单",VLOOKUP($A$1,'换码设置'!$A:$C,3,FALSE),0))</f>
        <v/>
      </c>
      <c r="BN3" s="0">
        <f>MAX(0,ROWS(UNIQUE(FILTER($F7:$F14,(BN7:BN14&gt;0)*($F7:$F14&lt;&gt;""))))-1)*IF(BN2="双",VLOOKUP($A$1,'换码设置'!$A:$C,2,FALSE),IF(BN2="单",VLOOKUP($A$1,'换码设置'!$A:$C,3,FALSE),0))</f>
        <v/>
      </c>
      <c r="BO3" s="0">
        <f>MAX(0,ROWS(UNIQUE(FILTER($F7:$F14,(BO7:BO14&gt;0)*($F7:$F14&lt;&gt;""))))-1)*IF(BO2="双",VLOOKUP($A$1,'换码设置'!$A:$C,2,FALSE),IF(BO2="单",VLOOKUP($A$1,'换码设置'!$A:$C,3,FALSE),0))</f>
        <v/>
      </c>
      <c r="BP3" s="0">
        <f>MAX(0,ROWS(UNIQUE(FILTER($F7:$F14,(BP7:BP14&gt;0)*($F7:$F14&lt;&gt;""))))-1)*IF(BP2="双",VLOOKUP($A$1,'换码设置'!$A:$C,2,FALSE),IF(BP2="单",VLOOKUP($A$1,'换码设置'!$A:$C,3,FALSE),0))</f>
        <v/>
      </c>
      <c r="BQ3" s="0">
        <f>MAX(0,ROWS(UNIQUE(FILTER($F7:$F14,(BQ7:BQ14&gt;0)*($F7:$F14&lt;&gt;""))))-1)*IF(BQ2="双",VLOOKUP($A$1,'换码设置'!$A:$C,2,FALSE),IF(BQ2="单",VLOOKUP($A$1,'换码设置'!$A:$C,3,FALSE),0))</f>
        <v/>
      </c>
    </row>
    <row r="4" ht="17" customFormat="1" customHeight="1" s="101">
      <c r="K4" s="103" t="n"/>
      <c r="L4" s="5" t="inlineStr">
        <is>
          <t>5月排产计划</t>
        </is>
      </c>
      <c r="M4" s="108">
        <f>SUM(M5:AL5)</f>
        <v/>
      </c>
      <c r="N4" s="109" t="n">
        <v>46148</v>
      </c>
      <c r="O4" s="109" t="n">
        <v>46149</v>
      </c>
      <c r="P4" s="109" t="n">
        <v>46150</v>
      </c>
      <c r="Q4" s="109" t="n">
        <v>46151</v>
      </c>
      <c r="R4" s="109" t="n">
        <v>46152</v>
      </c>
      <c r="S4" s="109" t="n">
        <v>46153</v>
      </c>
      <c r="T4" s="109" t="n">
        <v>46154</v>
      </c>
      <c r="U4" s="109" t="n">
        <v>46155</v>
      </c>
      <c r="V4" s="109" t="n">
        <v>46156</v>
      </c>
      <c r="W4" s="109" t="n">
        <v>46157</v>
      </c>
      <c r="X4" s="109" t="n">
        <v>46158</v>
      </c>
      <c r="Y4" s="109" t="n">
        <v>46159</v>
      </c>
      <c r="Z4" s="109" t="n">
        <v>46160</v>
      </c>
      <c r="AA4" s="109" t="n">
        <v>46161</v>
      </c>
      <c r="AB4" s="109" t="n">
        <v>46162</v>
      </c>
      <c r="AC4" s="109" t="n">
        <v>46163</v>
      </c>
      <c r="AD4" s="109" t="n">
        <v>46164</v>
      </c>
      <c r="AE4" s="109" t="n">
        <v>46165</v>
      </c>
      <c r="AF4" s="109" t="n">
        <v>46166</v>
      </c>
      <c r="AG4" s="109" t="n">
        <v>46167</v>
      </c>
      <c r="AH4" s="109" t="n">
        <v>46168</v>
      </c>
      <c r="AI4" s="109" t="n">
        <v>46169</v>
      </c>
      <c r="AJ4" s="109" t="n">
        <v>46170</v>
      </c>
      <c r="AK4" s="109" t="n">
        <v>46171</v>
      </c>
      <c r="AL4" s="109" t="n">
        <v>46172</v>
      </c>
      <c r="AM4" s="109" t="n">
        <v>46173</v>
      </c>
      <c r="AN4" s="109" t="n">
        <v>46174</v>
      </c>
      <c r="AO4" s="109" t="n">
        <v>46175</v>
      </c>
      <c r="AP4" s="109" t="n">
        <v>46176</v>
      </c>
      <c r="AQ4" s="109" t="n">
        <v>46177</v>
      </c>
      <c r="AR4" s="109" t="n">
        <v>46178</v>
      </c>
      <c r="AS4" s="109" t="n">
        <v>46179</v>
      </c>
      <c r="AT4" s="109" t="n">
        <v>46180</v>
      </c>
      <c r="AU4" s="109" t="n">
        <v>46181</v>
      </c>
      <c r="AV4" s="109" t="n">
        <v>46182</v>
      </c>
      <c r="AW4" s="109" t="n">
        <v>46183</v>
      </c>
      <c r="AX4" s="109" t="n">
        <v>46184</v>
      </c>
      <c r="AY4" s="109" t="n">
        <v>46185</v>
      </c>
      <c r="AZ4" s="109" t="n">
        <v>46186</v>
      </c>
      <c r="BA4" s="109" t="n">
        <v>46187</v>
      </c>
      <c r="BB4" s="109" t="n">
        <v>46188</v>
      </c>
      <c r="BC4" s="109" t="n">
        <v>46189</v>
      </c>
      <c r="BD4" s="109" t="n">
        <v>46190</v>
      </c>
      <c r="BE4" s="109" t="n">
        <v>46191</v>
      </c>
      <c r="BF4" s="109" t="n">
        <v>46192</v>
      </c>
      <c r="BG4" s="109" t="n">
        <v>46193</v>
      </c>
      <c r="BH4" s="109" t="n">
        <v>46194</v>
      </c>
      <c r="BI4" s="109" t="n">
        <v>46195</v>
      </c>
      <c r="BJ4" s="109" t="n">
        <v>46196</v>
      </c>
      <c r="BK4" s="109" t="n">
        <v>46197</v>
      </c>
      <c r="BL4" s="109" t="n">
        <v>46198</v>
      </c>
      <c r="BM4" s="109" t="n">
        <v>46199</v>
      </c>
      <c r="BN4" s="109" t="n">
        <v>46200</v>
      </c>
      <c r="BO4" s="109" t="n">
        <v>46201</v>
      </c>
      <c r="BP4" s="109" t="n">
        <v>46202</v>
      </c>
      <c r="BQ4" s="109" t="n">
        <v>46203</v>
      </c>
    </row>
    <row r="5" ht="15.5" customFormat="1" customHeight="1" s="101">
      <c r="G5" s="101" t="n"/>
      <c r="J5" s="95" t="n"/>
      <c r="K5" s="96" t="n"/>
      <c r="L5" s="5" t="inlineStr">
        <is>
          <t>目前总共订单</t>
        </is>
      </c>
      <c r="M5" s="110">
        <f>SUM(L1:L3)</f>
        <v/>
      </c>
      <c r="N5" s="10">
        <f>IF(N2="单",$K$1,IF(N2="双",$K$2,0))-N3-N6</f>
        <v/>
      </c>
      <c r="O5" s="10">
        <f>IF(O2="单",$K$1,IF(O2="双",$K$2,0))-O3-O6</f>
        <v/>
      </c>
      <c r="P5" s="10">
        <f>IF(P2="单",$K$1,IF(P2="双",$K$2,0))-P3-P6</f>
        <v/>
      </c>
      <c r="Q5" s="10">
        <f>IF(Q2="单",$K$1,IF(Q2="双",$K$2,0))-Q3-Q6</f>
        <v/>
      </c>
      <c r="R5" s="10">
        <f>IF(R2="单",$K$1,IF(R2="双",$K$2,0))-R3-R6</f>
        <v/>
      </c>
      <c r="S5" s="10">
        <f>IF(S2="单",$K$1,IF(S2="双",$K$2,0))-S3-S6</f>
        <v/>
      </c>
      <c r="T5" s="10">
        <f>IF(T2="单",$K$1,IF(T2="双",$K$2,0))-T3-T6</f>
        <v/>
      </c>
      <c r="U5" s="10">
        <f>IF(U2="单",$K$1,IF(U2="双",$K$2,0))-U3-U6</f>
        <v/>
      </c>
      <c r="V5" s="10">
        <f>IF(V2="单",$K$1,IF(V2="双",$K$2,0))-V3-V6</f>
        <v/>
      </c>
      <c r="W5" s="10">
        <f>IF(W2="单",$K$1,IF(W2="双",$K$2,0))-W3-W6</f>
        <v/>
      </c>
      <c r="X5" s="10">
        <f>IF(X2="单",$K$1,IF(X2="双",$K$2,0))-X3-X6</f>
        <v/>
      </c>
      <c r="Y5" s="10">
        <f>IF(Y2="单",$K$1,IF(Y2="双",$K$2,0))-Y3-Y6</f>
        <v/>
      </c>
      <c r="Z5" s="10">
        <f>IF(Z2="单",$K$1,IF(Z2="双",$K$2,0))-Z3-Z6</f>
        <v/>
      </c>
      <c r="AA5" s="10">
        <f>IF(AA2="单",$K$1,IF(AA2="双",$K$2,0))-AA3-AA6</f>
        <v/>
      </c>
      <c r="AB5" s="10">
        <f>IF(AB2="单",$K$1,IF(AB2="双",$K$2,0))-AB3-AB6</f>
        <v/>
      </c>
      <c r="AC5" s="10">
        <f>IF(AC2="单",$K$1,IF(AC2="双",$K$2,0))-AC3-AC6</f>
        <v/>
      </c>
      <c r="AD5" s="10">
        <f>IF(AD2="单",$K$1,IF(AD2="双",$K$2,0))-AD3-AD6</f>
        <v/>
      </c>
      <c r="AE5" s="10">
        <f>IF(AE2="单",$K$1,IF(AE2="双",$K$2,0))-AE3-AE6</f>
        <v/>
      </c>
      <c r="AF5" s="10">
        <f>IF(AF2="单",$K$1,IF(AF2="双",$K$2,0))-AF3-AF6</f>
        <v/>
      </c>
      <c r="AG5" s="10">
        <f>IF(AG2="单",$K$1,IF(AG2="双",$K$2,0))-AG3-AG6</f>
        <v/>
      </c>
      <c r="AH5" s="10">
        <f>IF(AH2="单",$K$1,IF(AH2="双",$K$2,0))-AH3-AH6</f>
        <v/>
      </c>
      <c r="AI5" s="10">
        <f>IF(AI2="单",$K$1,IF(AI2="双",$K$2,0))-AI3-AI6</f>
        <v/>
      </c>
      <c r="AJ5" s="10">
        <f>IF(AJ2="单",$K$1,IF(AJ2="双",$K$2,0))-AJ3-AJ6</f>
        <v/>
      </c>
      <c r="AK5" s="10">
        <f>IF(AK2="单",$K$1,IF(AK2="双",$K$2,0))-AK3-AK6</f>
        <v/>
      </c>
      <c r="AL5" s="10">
        <f>IF(AL2="单",$K$1,IF(AL2="双",$K$2,0))-AL3-AL6</f>
        <v/>
      </c>
      <c r="AM5" s="10">
        <f>IF(AM2="单",$K$1,IF(AM2="双",$K$2,0))-AM3-AM6</f>
        <v/>
      </c>
      <c r="AN5" s="10">
        <f>IF(AN2="单",$K$1,IF(AN2="双",$K$2,0))-AN3-AN6</f>
        <v/>
      </c>
      <c r="AO5" s="10">
        <f>IF(AO2="单",$K$1,IF(AO2="双",$K$2,0))-AO3-AO6</f>
        <v/>
      </c>
      <c r="AP5" s="10">
        <f>IF(AP2="单",$K$1,IF(AP2="双",$K$2,0))-AP3-AP6</f>
        <v/>
      </c>
      <c r="AQ5" s="10">
        <f>IF(AQ2="单",$K$1,IF(AQ2="双",$K$2,0))-AQ3-AQ6</f>
        <v/>
      </c>
      <c r="AR5" s="10">
        <f>IF(AR2="单",$K$1,IF(AR2="双",$K$2,0))-AR3-AR6</f>
        <v/>
      </c>
      <c r="AS5" s="10">
        <f>IF(AS2="单",$K$1,IF(AS2="双",$K$2,0))-AS3-AS6</f>
        <v/>
      </c>
      <c r="AT5" s="10">
        <f>IF(AT2="单",$K$1,IF(AT2="双",$K$2,0))-AT3-AT6</f>
        <v/>
      </c>
      <c r="AU5" s="10">
        <f>IF(AU2="单",$K$1,IF(AU2="双",$K$2,0))-AU3-AU6</f>
        <v/>
      </c>
      <c r="AV5" s="10">
        <f>IF(AV2="单",$K$1,IF(AV2="双",$K$2,0))-AV3-AV6</f>
        <v/>
      </c>
      <c r="AW5" s="10">
        <f>IF(AW2="单",$K$1,IF(AW2="双",$K$2,0))-AW3-AW6</f>
        <v/>
      </c>
      <c r="AX5" s="10">
        <f>IF(AX2="单",$K$1,IF(AX2="双",$K$2,0))-AX3-AX6</f>
        <v/>
      </c>
      <c r="AY5" s="10">
        <f>IF(AY2="单",$K$1,IF(AY2="双",$K$2,0))-AY3-AY6</f>
        <v/>
      </c>
      <c r="AZ5" s="10">
        <f>IF(AZ2="单",$K$1,IF(AZ2="双",$K$2,0))-AZ3-AZ6</f>
        <v/>
      </c>
      <c r="BA5" s="10">
        <f>IF(BA2="单",$K$1,IF(BA2="双",$K$2,0))-BA3-BA6</f>
        <v/>
      </c>
      <c r="BB5" s="10">
        <f>IF(BB2="单",$K$1,IF(BB2="双",$K$2,0))-BB3-BB6</f>
        <v/>
      </c>
      <c r="BC5" s="10">
        <f>IF(BC2="单",$K$1,IF(BC2="双",$K$2,0))-BC3-BC6</f>
        <v/>
      </c>
      <c r="BD5" s="10">
        <f>IF(BD2="单",$K$1,IF(BD2="双",$K$2,0))-BD3-BD6</f>
        <v/>
      </c>
      <c r="BE5" s="10">
        <f>IF(BE2="单",$K$1,IF(BE2="双",$K$2,0))-BE3-BE6</f>
        <v/>
      </c>
      <c r="BF5" s="10">
        <f>IF(BF2="单",$K$1,IF(BF2="双",$K$2,0))-BF3-BF6</f>
        <v/>
      </c>
      <c r="BG5" s="10">
        <f>IF(BG2="单",$K$1,IF(BG2="双",$K$2,0))-BG3-BG6</f>
        <v/>
      </c>
      <c r="BH5" s="10">
        <f>IF(BH2="单",$K$1,IF(BH2="双",$K$2,0))-BH3-BH6</f>
        <v/>
      </c>
      <c r="BI5" s="10">
        <f>IF(BI2="单",$K$1,IF(BI2="双",$K$2,0))-BI3-BI6</f>
        <v/>
      </c>
      <c r="BJ5" s="10">
        <f>IF(BJ2="单",$K$1,IF(BJ2="双",$K$2,0))-BJ3-BJ6</f>
        <v/>
      </c>
      <c r="BK5" s="10">
        <f>IF(BK2="单",$K$1,IF(BK2="双",$K$2,0))-BK3-BK6</f>
        <v/>
      </c>
      <c r="BL5" s="10">
        <f>IF(BL2="单",$K$1,IF(BL2="双",$K$2,0))-BL3-BL6</f>
        <v/>
      </c>
      <c r="BM5" s="10">
        <f>IF(BM2="单",$K$1,IF(BM2="双",$K$2,0))-BM3-BM6</f>
        <v/>
      </c>
      <c r="BN5" s="10">
        <f>IF(BN2="单",$K$1,IF(BN2="双",$K$2,0))-BN3-BN6</f>
        <v/>
      </c>
      <c r="BO5" s="10">
        <f>IF(BO2="单",$K$1,IF(BO2="双",$K$2,0))-BO3-BO6</f>
        <v/>
      </c>
      <c r="BP5" s="10">
        <f>IF(BP2="单",$K$1,IF(BP2="双",$K$2,0))-BP3-BP6</f>
        <v/>
      </c>
      <c r="BQ5" s="10">
        <f>IF(BQ2="单",$K$1,IF(BQ2="双",$K$2,0))-BQ3-BQ6</f>
        <v/>
      </c>
    </row>
    <row r="6" ht="15.5" customHeight="1" s="91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t="inlineStr">
        <is>
          <t>尺码</t>
        </is>
      </c>
      <c r="G6" s="97" t="inlineStr">
        <is>
          <t>规格(p*b*z)</t>
        </is>
      </c>
      <c r="H6" s="98" t="n"/>
      <c r="I6" s="111" t="inlineStr">
        <is>
          <t>下单时间</t>
        </is>
      </c>
      <c r="J6" s="112" t="inlineStr">
        <is>
          <t>最晚交货时间</t>
        </is>
      </c>
      <c r="K6" s="15" t="inlineStr">
        <is>
          <t>下单箱数</t>
        </is>
      </c>
      <c r="L6" s="16" t="inlineStr">
        <is>
          <t>下单片数</t>
        </is>
      </c>
      <c r="M6" s="17" t="inlineStr">
        <is>
          <t>剩余排产</t>
        </is>
      </c>
      <c r="N6" s="17">
        <f>SUMPRODUCT($G7:$G9964,$H7:$H9964,N$7:N$9964)</f>
        <v/>
      </c>
      <c r="O6" s="17">
        <f>SUMPRODUCT($G7:$G9964,$H7:$H9964,O$7:O$9964)</f>
        <v/>
      </c>
      <c r="P6" s="17">
        <f>SUMPRODUCT($G7:$G9964,$H7:$H9964,P$7:P$9964)</f>
        <v/>
      </c>
      <c r="Q6" s="17">
        <f>SUMPRODUCT($G7:$G9964,$H7:$H9964,Q$7:Q$9964)</f>
        <v/>
      </c>
      <c r="R6" s="17">
        <f>SUMPRODUCT($G7:$G9964,$H7:$H9964,R$7:R$9964)</f>
        <v/>
      </c>
      <c r="S6" s="17">
        <f>SUMPRODUCT($G7:$G9964,$H7:$H9964,S$7:S$9964)</f>
        <v/>
      </c>
      <c r="T6" s="17">
        <f>SUMPRODUCT($G7:$G9964,$H7:$H9964,T$7:T$9964)</f>
        <v/>
      </c>
      <c r="U6" s="17">
        <f>SUMPRODUCT($G7:$G9964,$H7:$H9964,U$7:U$9964)</f>
        <v/>
      </c>
      <c r="V6" s="17">
        <f>SUMPRODUCT($G7:$G9964,$H7:$H9964,V$7:V$9964)</f>
        <v/>
      </c>
      <c r="W6" s="17">
        <f>SUMPRODUCT($G7:$G9964,$H7:$H9964,W$7:W$9964)</f>
        <v/>
      </c>
      <c r="X6" s="17">
        <f>SUMPRODUCT($G7:$G9964,$H7:$H9964,X$7:X$9964)</f>
        <v/>
      </c>
      <c r="Y6" s="17">
        <f>SUMPRODUCT($G7:$G9964,$H7:$H9964,Y$7:Y$9964)</f>
        <v/>
      </c>
      <c r="Z6" s="17">
        <f>SUMPRODUCT($G7:$G9964,$H7:$H9964,Z$7:Z$9964)</f>
        <v/>
      </c>
      <c r="AA6" s="17">
        <f>SUMPRODUCT($G7:$G9964,$H7:$H9964,AA$7:AA$9964)</f>
        <v/>
      </c>
      <c r="AB6" s="17">
        <f>SUMPRODUCT($G7:$G9964,$H7:$H9964,AB$7:AB$9964)</f>
        <v/>
      </c>
      <c r="AC6" s="17">
        <f>SUMPRODUCT($G7:$G9964,$H7:$H9964,AC$7:AC$9964)</f>
        <v/>
      </c>
      <c r="AD6" s="17">
        <f>SUMPRODUCT($G7:$G9964,$H7:$H9964,AD$7:AD$9964)</f>
        <v/>
      </c>
      <c r="AE6" s="17">
        <f>SUMPRODUCT($G7:$G9964,$H7:$H9964,AE$7:AE$9964)</f>
        <v/>
      </c>
      <c r="AF6" s="17">
        <f>SUMPRODUCT($G7:$G9964,$H7:$H9964,AF$7:AF$9964)</f>
        <v/>
      </c>
      <c r="AG6" s="17">
        <f>SUMPRODUCT($G7:$G9964,$H7:$H9964,AG$7:AG$9964)</f>
        <v/>
      </c>
      <c r="AH6" s="17">
        <f>SUMPRODUCT($G7:$G9964,$H7:$H9964,AH$7:AH$9964)</f>
        <v/>
      </c>
      <c r="AI6" s="17">
        <f>SUMPRODUCT($G7:$G9964,$H7:$H9964,AI$7:AI$9964)</f>
        <v/>
      </c>
      <c r="AJ6" s="17">
        <f>SUMPRODUCT($G7:$G9964,$H7:$H9964,AJ$7:AJ$9964)</f>
        <v/>
      </c>
      <c r="AK6" s="17">
        <f>SUMPRODUCT($G7:$G9964,$H7:$H9964,AK$7:AK$9964)</f>
        <v/>
      </c>
      <c r="AL6" s="17">
        <f>SUMPRODUCT($G7:$G9964,$H7:$H9964,AL$7:AL$9964)</f>
        <v/>
      </c>
      <c r="AM6" s="17">
        <f>SUMPRODUCT($G7:$G9964,$H7:$H9964,AM$7:AM$9964)</f>
        <v/>
      </c>
      <c r="AN6" s="17">
        <f>SUMPRODUCT($G7:$G9964,$H7:$H9964,AN$7:AN$9964)</f>
        <v/>
      </c>
      <c r="AO6" s="17">
        <f>SUMPRODUCT($G7:$G9964,$H7:$H9964,AO$7:AO$9964)</f>
        <v/>
      </c>
      <c r="AP6" s="17">
        <f>SUMPRODUCT($G7:$G9964,$H7:$H9964,AP$7:AP$9964)</f>
        <v/>
      </c>
      <c r="AQ6" s="17">
        <f>SUMPRODUCT($G7:$G9964,$H7:$H9964,AQ$7:AQ$9964)</f>
        <v/>
      </c>
      <c r="AR6" s="17">
        <f>SUMPRODUCT($G7:$G9964,$H7:$H9964,AR$7:AR$9964)</f>
        <v/>
      </c>
      <c r="AS6" s="17">
        <f>SUMPRODUCT($G7:$G9964,$H7:$H9964,AS$7:AS$9964)</f>
        <v/>
      </c>
      <c r="AT6" s="17">
        <f>SUMPRODUCT($G7:$G9964,$H7:$H9964,AT$7:AT$9964)</f>
        <v/>
      </c>
      <c r="AU6" s="17">
        <f>SUMPRODUCT($G7:$G9964,$H7:$H9964,AU$7:AU$9964)</f>
        <v/>
      </c>
      <c r="AV6" s="17">
        <f>SUMPRODUCT($G7:$G9964,$H7:$H9964,AV$7:AV$9964)</f>
        <v/>
      </c>
      <c r="AW6" s="17">
        <f>SUMPRODUCT($G7:$G9964,$H7:$H9964,AW$7:AW$9964)</f>
        <v/>
      </c>
      <c r="AX6" s="17">
        <f>SUMPRODUCT($G7:$G9964,$H7:$H9964,AX$7:AX$9964)</f>
        <v/>
      </c>
      <c r="AY6" s="17">
        <f>SUMPRODUCT($G7:$G9964,$H7:$H9964,AY$7:AY$9964)</f>
        <v/>
      </c>
      <c r="AZ6" s="17">
        <f>SUMPRODUCT($G7:$G9964,$H7:$H9964,AZ$7:AZ$9964)</f>
        <v/>
      </c>
      <c r="BA6" s="17">
        <f>SUMPRODUCT($G7:$G9964,$H7:$H9964,BA$7:BA$9964)</f>
        <v/>
      </c>
      <c r="BB6" s="17">
        <f>SUMPRODUCT($G7:$G9964,$H7:$H9964,BB$7:BB$9964)</f>
        <v/>
      </c>
      <c r="BC6" s="17">
        <f>SUMPRODUCT($G7:$G9964,$H7:$H9964,BC$7:BC$9964)</f>
        <v/>
      </c>
      <c r="BD6" s="17">
        <f>SUMPRODUCT($G7:$G9964,$H7:$H9964,BD$7:BD$9964)</f>
        <v/>
      </c>
      <c r="BE6" s="17">
        <f>SUMPRODUCT($G7:$G9964,$H7:$H9964,BE$7:BE$9964)</f>
        <v/>
      </c>
      <c r="BF6" s="17">
        <f>SUMPRODUCT($G7:$G9964,$H7:$H9964,BF$7:BF$9964)</f>
        <v/>
      </c>
      <c r="BG6" s="17">
        <f>SUMPRODUCT($G7:$G9964,$H7:$H9964,BG$7:BG$9964)</f>
        <v/>
      </c>
      <c r="BH6" s="17">
        <f>SUMPRODUCT($G7:$G9964,$H7:$H9964,BH$7:BH$9964)</f>
        <v/>
      </c>
      <c r="BI6" s="17">
        <f>SUMPRODUCT($G7:$G9964,$H7:$H9964,BI$7:BI$9964)</f>
        <v/>
      </c>
      <c r="BJ6" s="17">
        <f>SUMPRODUCT($G7:$G9964,$H7:$H9964,BJ$7:BJ$9964)</f>
        <v/>
      </c>
      <c r="BK6" s="17">
        <f>SUMPRODUCT($G7:$G9964,$H7:$H9964,BK$7:BK$9964)</f>
        <v/>
      </c>
      <c r="BL6" s="17">
        <f>SUMPRODUCT($G7:$G9964,$H7:$H9964,BL$7:BL$9964)</f>
        <v/>
      </c>
      <c r="BM6" s="17">
        <f>SUMPRODUCT($G7:$G9964,$H7:$H9964,BM$7:BM$9964)</f>
        <v/>
      </c>
      <c r="BN6" s="17">
        <f>SUMPRODUCT($G7:$G9964,$H7:$H9964,BN$7:BN$9964)</f>
        <v/>
      </c>
      <c r="BO6" s="17">
        <f>SUMPRODUCT($G7:$G9964,$H7:$H9964,BO$7:BO$9964)</f>
        <v/>
      </c>
      <c r="BP6" s="17">
        <f>SUMPRODUCT($G7:$G9964,$H7:$H9964,BP$7:BP$9964)</f>
        <v/>
      </c>
      <c r="BQ6" s="17">
        <f>SUMPRODUCT($G7:$G9964,$H7:$H9964,BQ$7:BQ$9964)</f>
        <v/>
      </c>
    </row>
    <row r="7" ht="15.5" customHeight="1" s="91">
      <c r="A7" s="29" t="inlineStr">
        <is>
          <t>1.6.03.671</t>
        </is>
      </c>
      <c r="B7" s="29" t="n"/>
      <c r="C7" s="29" t="n"/>
      <c r="D7" s="19" t="inlineStr">
        <is>
          <t>WO-ZZ00020556</t>
        </is>
      </c>
      <c r="E7" s="29" t="inlineStr">
        <is>
          <t>EQ Dry Travel Pack Large(16+1)x12 2025.12.16</t>
        </is>
      </c>
      <c r="F7" t="inlineStr">
        <is>
          <t>L</t>
        </is>
      </c>
      <c r="G7" s="29" t="n">
        <v>17</v>
      </c>
      <c r="H7" s="29" t="n">
        <v>12</v>
      </c>
      <c r="I7" s="29" t="n"/>
      <c r="J7" s="117" t="n"/>
      <c r="K7" s="29" t="n">
        <v>1414</v>
      </c>
      <c r="L7" s="29">
        <f>F6*G6*J6</f>
        <v/>
      </c>
      <c r="M7" s="29" t="n">
        <v>0</v>
      </c>
      <c r="N7" s="28" t="n">
        <v>980</v>
      </c>
      <c r="O7" s="28" t="n">
        <v>434</v>
      </c>
      <c r="P7" s="28" t="n"/>
      <c r="Q7" s="28" t="n"/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  <c r="AA7" s="28" t="n"/>
      <c r="AB7" s="28" t="n"/>
      <c r="AC7" s="28" t="n"/>
      <c r="AD7" s="28" t="n"/>
      <c r="AE7" s="28" t="n"/>
      <c r="AF7" s="28" t="n"/>
      <c r="AG7" s="28" t="n"/>
      <c r="AH7" s="28" t="n"/>
      <c r="AI7" s="28" t="n"/>
      <c r="AJ7" s="28" t="n"/>
      <c r="AK7" s="28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  <c r="BP7" s="28" t="n"/>
      <c r="BQ7" s="28" t="n"/>
    </row>
    <row r="8" ht="15.5" customHeight="1" s="91">
      <c r="A8" s="29" t="inlineStr">
        <is>
          <t>1.6.03.672</t>
        </is>
      </c>
      <c r="B8" s="29" t="n"/>
      <c r="C8" s="29" t="n"/>
      <c r="D8" s="19" t="inlineStr">
        <is>
          <t>WO-ZZ00020555</t>
        </is>
      </c>
      <c r="E8" s="29" t="inlineStr">
        <is>
          <t>EQ Dry Econo Pack Large(32+2)x6 2025.12.16</t>
        </is>
      </c>
      <c r="F8" t="inlineStr">
        <is>
          <t>L</t>
        </is>
      </c>
      <c r="G8" s="29" t="n">
        <v>34</v>
      </c>
      <c r="H8" s="29" t="n">
        <v>6</v>
      </c>
      <c r="I8" s="29" t="n"/>
      <c r="J8" s="117" t="n"/>
      <c r="K8" s="29" t="n">
        <v>3525</v>
      </c>
      <c r="L8" s="29">
        <f>F7*G7*J7</f>
        <v/>
      </c>
      <c r="M8" s="29" t="n">
        <v>0</v>
      </c>
      <c r="N8" s="28" t="n"/>
      <c r="O8" s="28" t="n">
        <v>546</v>
      </c>
      <c r="P8" s="28" t="n">
        <v>980</v>
      </c>
      <c r="Q8" s="28" t="n">
        <v>980</v>
      </c>
      <c r="R8" s="28" t="n"/>
      <c r="S8" s="28" t="n">
        <v>980</v>
      </c>
      <c r="T8" s="28" t="n">
        <v>39</v>
      </c>
      <c r="U8" s="28" t="n"/>
      <c r="V8" s="28" t="n"/>
      <c r="W8" s="28" t="n"/>
      <c r="X8" s="28" t="n"/>
      <c r="Y8" s="28" t="n"/>
      <c r="Z8" s="28" t="n"/>
      <c r="AA8" s="28" t="n"/>
      <c r="AB8" s="28" t="n"/>
      <c r="AC8" s="28" t="n"/>
      <c r="AD8" s="28" t="n"/>
      <c r="AE8" s="28" t="n"/>
      <c r="AF8" s="28" t="n"/>
      <c r="AG8" s="28" t="n"/>
      <c r="AH8" s="28" t="n"/>
      <c r="AI8" s="28" t="n"/>
      <c r="AJ8" s="28" t="n"/>
      <c r="AK8" s="28" t="n"/>
      <c r="AL8" s="28" t="n"/>
      <c r="AM8" s="28" t="n"/>
      <c r="AN8" s="28" t="n"/>
      <c r="AO8" s="28" t="n"/>
      <c r="AP8" s="28" t="n"/>
      <c r="AQ8" s="28" t="n"/>
      <c r="AR8" s="28" t="n"/>
      <c r="AS8" s="28" t="n"/>
      <c r="AT8" s="28" t="n"/>
      <c r="AU8" s="28" t="n"/>
      <c r="AV8" s="28" t="n"/>
      <c r="AW8" s="28" t="n"/>
      <c r="AX8" s="28" t="n"/>
      <c r="AY8" s="28" t="n"/>
      <c r="AZ8" s="28" t="n"/>
      <c r="BA8" s="28" t="n"/>
      <c r="BB8" s="28" t="n"/>
      <c r="BC8" s="28" t="n"/>
      <c r="BD8" s="28" t="n"/>
      <c r="BE8" s="28" t="n"/>
      <c r="BF8" s="28" t="n"/>
      <c r="BG8" s="28" t="n"/>
      <c r="BH8" s="28" t="n"/>
      <c r="BI8" s="28" t="n"/>
      <c r="BJ8" s="28" t="n"/>
      <c r="BK8" s="28" t="n"/>
      <c r="BL8" s="28" t="n"/>
      <c r="BM8" s="28" t="n"/>
      <c r="BN8" s="28" t="n"/>
      <c r="BO8" s="28" t="n"/>
      <c r="BP8" s="28" t="n"/>
      <c r="BQ8" s="28" t="n"/>
    </row>
    <row r="9" ht="15.5" customHeight="1" s="91">
      <c r="A9" s="29" t="inlineStr">
        <is>
          <t>1.6.03.672</t>
        </is>
      </c>
      <c r="B9" s="29" t="n"/>
      <c r="C9" s="29" t="n"/>
      <c r="D9" s="19" t="inlineStr">
        <is>
          <t>WO-ZZ00020509</t>
        </is>
      </c>
      <c r="E9" s="29" t="inlineStr">
        <is>
          <t>EQ Dry Econo Pack Large(32+2)x6 2025.12.16</t>
        </is>
      </c>
      <c r="F9" t="inlineStr">
        <is>
          <t>L</t>
        </is>
      </c>
      <c r="G9" s="29" t="n">
        <v>34</v>
      </c>
      <c r="H9" s="29" t="n">
        <v>6</v>
      </c>
      <c r="I9" s="29" t="n"/>
      <c r="J9" s="117" t="n"/>
      <c r="K9" s="29" t="n">
        <v>5000</v>
      </c>
      <c r="L9" s="29">
        <f>F8*G8*J8</f>
        <v/>
      </c>
      <c r="M9" s="29" t="n">
        <v>0</v>
      </c>
      <c r="N9" s="28" t="n"/>
      <c r="O9" s="28" t="n"/>
      <c r="P9" s="28" t="n"/>
      <c r="Q9" s="28" t="n"/>
      <c r="R9" s="28" t="n"/>
      <c r="S9" s="28" t="n"/>
      <c r="T9" s="28" t="n">
        <v>941</v>
      </c>
      <c r="U9" s="28" t="n">
        <v>980</v>
      </c>
      <c r="V9" s="28" t="n">
        <v>980</v>
      </c>
      <c r="W9" s="28" t="n">
        <v>980</v>
      </c>
      <c r="X9" s="28" t="n">
        <v>980</v>
      </c>
      <c r="Y9" s="28" t="n"/>
      <c r="Z9" s="28" t="n">
        <v>139</v>
      </c>
      <c r="AA9" s="28" t="n"/>
      <c r="AB9" s="28" t="n"/>
      <c r="AC9" s="28" t="n"/>
      <c r="AD9" s="28" t="n"/>
      <c r="AE9" s="28" t="n"/>
      <c r="AF9" s="28" t="n"/>
      <c r="AG9" s="28" t="n"/>
      <c r="AH9" s="28" t="n"/>
      <c r="AI9" s="28" t="n"/>
      <c r="AJ9" s="28" t="n"/>
      <c r="AK9" s="28" t="n"/>
      <c r="AL9" s="28" t="n"/>
      <c r="AM9" s="28" t="n"/>
      <c r="AN9" s="28" t="n"/>
      <c r="AO9" s="28" t="n"/>
      <c r="AP9" s="28" t="n"/>
      <c r="AQ9" s="28" t="n"/>
      <c r="AR9" s="28" t="n"/>
      <c r="AS9" s="28" t="n"/>
      <c r="AT9" s="28" t="n"/>
      <c r="AU9" s="28" t="n"/>
      <c r="AV9" s="28" t="n"/>
      <c r="AW9" s="28" t="n"/>
      <c r="AX9" s="28" t="n"/>
      <c r="AY9" s="28" t="n"/>
      <c r="AZ9" s="28" t="n"/>
      <c r="BA9" s="28" t="n"/>
      <c r="BB9" s="28" t="n"/>
      <c r="BC9" s="28" t="n"/>
      <c r="BD9" s="28" t="n"/>
      <c r="BE9" s="28" t="n"/>
      <c r="BF9" s="28" t="n"/>
      <c r="BG9" s="28" t="n"/>
      <c r="BH9" s="28" t="n"/>
      <c r="BI9" s="28" t="n"/>
      <c r="BJ9" s="28" t="n"/>
      <c r="BK9" s="28" t="n"/>
      <c r="BL9" s="28" t="n"/>
      <c r="BM9" s="28" t="n"/>
      <c r="BN9" s="28" t="n"/>
      <c r="BO9" s="28" t="n"/>
      <c r="BP9" s="28" t="n"/>
      <c r="BQ9" s="28" t="n"/>
    </row>
    <row r="10" ht="15.5" customHeight="1" s="91">
      <c r="A10" s="29" t="inlineStr">
        <is>
          <t>1.6.03.671</t>
        </is>
      </c>
      <c r="B10" s="29" t="n"/>
      <c r="C10" s="29" t="n"/>
      <c r="D10" s="19" t="inlineStr">
        <is>
          <t>WO-ZZ00020510</t>
        </is>
      </c>
      <c r="E10" s="29" t="inlineStr">
        <is>
          <t>EQ Dry Travel Pack Large(16+1)x12 2025.12.16</t>
        </is>
      </c>
      <c r="F10" t="inlineStr">
        <is>
          <t>L</t>
        </is>
      </c>
      <c r="G10" s="29" t="n">
        <v>17</v>
      </c>
      <c r="H10" s="29" t="n">
        <v>12</v>
      </c>
      <c r="I10" s="29" t="n"/>
      <c r="J10" s="117" t="n"/>
      <c r="K10" s="29" t="n">
        <v>5000</v>
      </c>
      <c r="L10" s="29">
        <f>F9*G9*J9</f>
        <v/>
      </c>
      <c r="M10" s="29" t="n">
        <v>0</v>
      </c>
      <c r="N10" s="28" t="n"/>
      <c r="O10" s="28" t="n"/>
      <c r="P10" s="28" t="n"/>
      <c r="Q10" s="28" t="n"/>
      <c r="R10" s="28" t="n"/>
      <c r="S10" s="28" t="n"/>
      <c r="T10" s="28" t="n"/>
      <c r="U10" s="28" t="n"/>
      <c r="V10" s="28" t="n"/>
      <c r="W10" s="28" t="n"/>
      <c r="X10" s="28" t="n"/>
      <c r="Y10" s="28" t="n"/>
      <c r="Z10" s="28" t="n">
        <v>841</v>
      </c>
      <c r="AA10" s="28" t="n">
        <v>980</v>
      </c>
      <c r="AB10" s="28" t="n">
        <v>980</v>
      </c>
      <c r="AC10" s="28" t="n">
        <v>980</v>
      </c>
      <c r="AD10" s="28" t="n">
        <v>980</v>
      </c>
      <c r="AE10" s="28" t="n">
        <v>239</v>
      </c>
      <c r="AF10" s="28" t="n"/>
      <c r="AG10" s="28" t="n"/>
      <c r="AH10" s="28" t="n"/>
      <c r="AI10" s="28" t="n"/>
      <c r="AJ10" s="28" t="n"/>
      <c r="AK10" s="28" t="n"/>
      <c r="AL10" s="28" t="n"/>
      <c r="AM10" s="28" t="n"/>
      <c r="AN10" s="28" t="n"/>
      <c r="AO10" s="28" t="n"/>
      <c r="AP10" s="28" t="n"/>
      <c r="AQ10" s="28" t="n"/>
      <c r="AR10" s="28" t="n"/>
      <c r="AS10" s="28" t="n"/>
      <c r="AT10" s="28" t="n"/>
      <c r="AU10" s="28" t="n"/>
      <c r="AV10" s="28" t="n"/>
      <c r="AW10" s="28" t="n"/>
      <c r="AX10" s="28" t="n"/>
      <c r="AY10" s="28" t="n"/>
      <c r="AZ10" s="28" t="n"/>
      <c r="BA10" s="28" t="n"/>
      <c r="BB10" s="28" t="n"/>
      <c r="BC10" s="28" t="n"/>
      <c r="BD10" s="28" t="n"/>
      <c r="BE10" s="28" t="n"/>
      <c r="BF10" s="28" t="n"/>
      <c r="BG10" s="28" t="n"/>
      <c r="BH10" s="28" t="n"/>
      <c r="BI10" s="28" t="n"/>
      <c r="BJ10" s="28" t="n"/>
      <c r="BK10" s="28" t="n"/>
      <c r="BL10" s="28" t="n"/>
      <c r="BM10" s="28" t="n"/>
      <c r="BN10" s="28" t="n"/>
      <c r="BO10" s="28" t="n"/>
      <c r="BP10" s="28" t="n"/>
      <c r="BQ10" s="28" t="n"/>
    </row>
    <row r="11" ht="15.5" customHeight="1" s="91">
      <c r="A11" s="29" t="inlineStr">
        <is>
          <t>1.6.03.670</t>
        </is>
      </c>
      <c r="B11" s="29" t="n"/>
      <c r="C11" s="29" t="n"/>
      <c r="D11" s="19" t="n"/>
      <c r="E11" s="29" t="inlineStr">
        <is>
          <t>EQ Dry Mini Pack Large 4 x 42 2025.12.16</t>
        </is>
      </c>
      <c r="F11" t="inlineStr">
        <is>
          <t>L</t>
        </is>
      </c>
      <c r="G11" s="29" t="n">
        <v>48</v>
      </c>
      <c r="H11" s="29" t="n">
        <v>4</v>
      </c>
      <c r="I11" s="29" t="n"/>
      <c r="J11" s="117" t="n"/>
      <c r="K11" s="29" t="n">
        <v>500</v>
      </c>
      <c r="L11" s="29">
        <f>F10*G10*J10</f>
        <v/>
      </c>
      <c r="M11" s="29" t="n">
        <v>0</v>
      </c>
      <c r="N11" s="28" t="n"/>
      <c r="O11" s="28" t="n"/>
      <c r="P11" s="28" t="n"/>
      <c r="Q11" s="28" t="n"/>
      <c r="R11" s="28" t="n"/>
      <c r="S11" s="28" t="n"/>
      <c r="T11" s="28" t="n"/>
      <c r="U11" s="28" t="n"/>
      <c r="V11" s="28" t="n"/>
      <c r="W11" s="28" t="n"/>
      <c r="X11" s="28" t="n"/>
      <c r="Y11" s="28" t="n"/>
      <c r="Z11" s="28" t="n"/>
      <c r="AA11" s="28" t="n"/>
      <c r="AB11" s="28" t="n"/>
      <c r="AC11" s="28" t="n"/>
      <c r="AD11" s="28" t="n"/>
      <c r="AE11" s="28" t="n">
        <v>500</v>
      </c>
      <c r="AF11" s="28" t="n"/>
      <c r="AG11" s="28" t="n"/>
      <c r="AH11" s="28" t="n"/>
      <c r="AI11" s="28" t="n"/>
      <c r="AJ11" s="28" t="n"/>
      <c r="AK11" s="28" t="n"/>
      <c r="AL11" s="28" t="n"/>
      <c r="AM11" s="28" t="n"/>
      <c r="AN11" s="28" t="n"/>
      <c r="AO11" s="28" t="n"/>
      <c r="AP11" s="28" t="n"/>
      <c r="AQ11" s="28" t="n"/>
      <c r="AR11" s="28" t="n"/>
      <c r="AS11" s="28" t="n"/>
      <c r="AT11" s="28" t="n"/>
      <c r="AU11" s="28" t="n"/>
      <c r="AV11" s="28" t="n"/>
      <c r="AW11" s="28" t="n"/>
      <c r="AX11" s="28" t="n"/>
      <c r="AY11" s="28" t="n"/>
      <c r="AZ11" s="28" t="n"/>
      <c r="BA11" s="28" t="n"/>
      <c r="BB11" s="28" t="n"/>
      <c r="BC11" s="28" t="n"/>
      <c r="BD11" s="28" t="n"/>
      <c r="BE11" s="28" t="n"/>
      <c r="BF11" s="28" t="n"/>
      <c r="BG11" s="28" t="n"/>
      <c r="BH11" s="28" t="n"/>
      <c r="BI11" s="28" t="n"/>
      <c r="BJ11" s="28" t="n"/>
      <c r="BK11" s="28" t="n"/>
      <c r="BL11" s="28" t="n"/>
      <c r="BM11" s="28" t="n"/>
      <c r="BN11" s="28" t="n"/>
      <c r="BO11" s="28" t="n"/>
      <c r="BP11" s="28" t="n"/>
      <c r="BQ11" s="28" t="n"/>
    </row>
    <row r="12" ht="15.5" customHeight="1" s="91">
      <c r="A12" s="29" t="inlineStr">
        <is>
          <t>1.6.03.376</t>
        </is>
      </c>
      <c r="B12" s="29" t="n"/>
      <c r="C12" s="29" t="n"/>
      <c r="D12" s="19" t="inlineStr">
        <is>
          <t>WO-ZZ00020557</t>
        </is>
      </c>
      <c r="E12" s="29" t="inlineStr">
        <is>
          <t>EQ plus budget L (12+1)*14</t>
        </is>
      </c>
      <c r="F12" t="inlineStr">
        <is>
          <t>L</t>
        </is>
      </c>
      <c r="G12" s="29" t="n">
        <v>13</v>
      </c>
      <c r="H12" s="29" t="n">
        <v>14</v>
      </c>
      <c r="I12" s="29" t="n"/>
      <c r="J12" s="117" t="n"/>
      <c r="K12" s="29" t="n">
        <v>1000</v>
      </c>
      <c r="L12" s="29">
        <f>F11*G11*J11</f>
        <v/>
      </c>
      <c r="M12" s="29" t="n">
        <v>0</v>
      </c>
      <c r="N12" s="28" t="n"/>
      <c r="O12" s="28" t="n"/>
      <c r="P12" s="28" t="n"/>
      <c r="Q12" s="28" t="n"/>
      <c r="R12" s="28" t="n"/>
      <c r="S12" s="28" t="n"/>
      <c r="T12" s="28" t="n"/>
      <c r="U12" s="28" t="n"/>
      <c r="V12" s="28" t="n"/>
      <c r="W12" s="28" t="n"/>
      <c r="X12" s="28" t="n"/>
      <c r="Y12" s="28" t="n"/>
      <c r="Z12" s="28" t="n"/>
      <c r="AA12" s="28" t="n"/>
      <c r="AB12" s="28" t="n"/>
      <c r="AC12" s="28" t="n"/>
      <c r="AD12" s="28" t="n"/>
      <c r="AE12" s="28" t="n">
        <v>304</v>
      </c>
      <c r="AF12" s="28" t="n"/>
      <c r="AG12" s="28" t="n">
        <v>696</v>
      </c>
      <c r="AH12" s="28" t="n"/>
      <c r="AI12" s="28" t="n"/>
      <c r="AJ12" s="28" t="n"/>
      <c r="AK12" s="28" t="n"/>
      <c r="AL12" s="28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8" t="n"/>
      <c r="BA12" s="28" t="n"/>
      <c r="BB12" s="28" t="n"/>
      <c r="BC12" s="28" t="n"/>
      <c r="BD12" s="28" t="n"/>
      <c r="BE12" s="28" t="n"/>
      <c r="BF12" s="28" t="n"/>
      <c r="BG12" s="28" t="n"/>
      <c r="BH12" s="28" t="n"/>
      <c r="BI12" s="28" t="n"/>
      <c r="BJ12" s="28" t="n"/>
      <c r="BK12" s="28" t="n"/>
      <c r="BL12" s="28" t="n"/>
      <c r="BM12" s="28" t="n"/>
      <c r="BN12" s="28" t="n"/>
      <c r="BO12" s="28" t="n"/>
      <c r="BP12" s="28" t="n"/>
      <c r="BQ12" s="28" t="n"/>
    </row>
    <row r="13" ht="15.5" customHeight="1" s="91">
      <c r="A13" s="29" t="inlineStr">
        <is>
          <t>1.6.03.379</t>
        </is>
      </c>
      <c r="B13" s="29" t="n"/>
      <c r="C13" s="29" t="n"/>
      <c r="D13" s="19" t="n"/>
      <c r="E13" s="29" t="inlineStr">
        <is>
          <t>EQ plus big L (28+2)*6</t>
        </is>
      </c>
      <c r="F13" t="inlineStr">
        <is>
          <t>L</t>
        </is>
      </c>
      <c r="G13" s="29" t="n">
        <v>30</v>
      </c>
      <c r="H13" s="29" t="n">
        <v>6</v>
      </c>
      <c r="I13" s="29" t="n"/>
      <c r="J13" s="117" t="n"/>
      <c r="K13" s="29" t="n">
        <v>500</v>
      </c>
      <c r="L13" s="29">
        <f>F12*G12*J12</f>
        <v/>
      </c>
      <c r="M13" s="29" t="n">
        <v>0</v>
      </c>
      <c r="N13" s="28" t="n"/>
      <c r="O13" s="28" t="n"/>
      <c r="P13" s="28" t="n"/>
      <c r="Q13" s="28" t="n"/>
      <c r="R13" s="28" t="n"/>
      <c r="S13" s="28" t="n"/>
      <c r="T13" s="28" t="n"/>
      <c r="U13" s="28" t="n"/>
      <c r="V13" s="28" t="n"/>
      <c r="W13" s="28" t="n"/>
      <c r="X13" s="28" t="n"/>
      <c r="Y13" s="28" t="n"/>
      <c r="Z13" s="28" t="n"/>
      <c r="AA13" s="28" t="n"/>
      <c r="AB13" s="28" t="n"/>
      <c r="AC13" s="28" t="n"/>
      <c r="AD13" s="28" t="n"/>
      <c r="AE13" s="28" t="n"/>
      <c r="AF13" s="28" t="n"/>
      <c r="AG13" s="28" t="n">
        <v>407</v>
      </c>
      <c r="AH13" s="28" t="n">
        <v>93</v>
      </c>
      <c r="AI13" s="28" t="n"/>
      <c r="AJ13" s="28" t="n"/>
      <c r="AK13" s="28" t="n"/>
      <c r="AL13" s="28" t="n"/>
      <c r="AM13" s="28" t="n"/>
      <c r="AN13" s="28" t="n"/>
      <c r="AO13" s="28" t="n"/>
      <c r="AP13" s="28" t="n"/>
      <c r="AQ13" s="28" t="n"/>
      <c r="AR13" s="28" t="n"/>
      <c r="AS13" s="28" t="n"/>
      <c r="AT13" s="28" t="n"/>
      <c r="AU13" s="28" t="n"/>
      <c r="AV13" s="28" t="n"/>
      <c r="AW13" s="28" t="n"/>
      <c r="AX13" s="28" t="n"/>
      <c r="AY13" s="28" t="n"/>
      <c r="AZ13" s="28" t="n"/>
      <c r="BA13" s="28" t="n"/>
      <c r="BB13" s="28" t="n"/>
      <c r="BC13" s="28" t="n"/>
      <c r="BD13" s="28" t="n"/>
      <c r="BE13" s="28" t="n"/>
      <c r="BF13" s="28" t="n"/>
      <c r="BG13" s="28" t="n"/>
      <c r="BH13" s="28" t="n"/>
      <c r="BI13" s="28" t="n"/>
      <c r="BJ13" s="28" t="n"/>
      <c r="BK13" s="28" t="n"/>
      <c r="BL13" s="28" t="n"/>
      <c r="BM13" s="28" t="n"/>
      <c r="BN13" s="28" t="n"/>
      <c r="BO13" s="28" t="n"/>
      <c r="BP13" s="28" t="n"/>
      <c r="BQ13" s="28" t="n"/>
    </row>
    <row r="14" ht="17" customHeight="1" s="91">
      <c r="A14" s="29" t="inlineStr">
        <is>
          <t>1.6.03.380</t>
        </is>
      </c>
      <c r="B14" s="29" t="n"/>
      <c r="C14" s="29" t="n"/>
      <c r="D14" s="19" t="n"/>
      <c r="E14" s="29" t="inlineStr">
        <is>
          <t>EQ plus jumbo L (42+4)*4</t>
        </is>
      </c>
      <c r="F14" t="inlineStr">
        <is>
          <t>L</t>
        </is>
      </c>
      <c r="G14" s="29" t="n">
        <v>46</v>
      </c>
      <c r="H14" s="29" t="n">
        <v>4</v>
      </c>
      <c r="I14" s="29" t="n"/>
      <c r="J14" s="117" t="n"/>
      <c r="K14" s="29" t="n">
        <v>1000</v>
      </c>
      <c r="L14" s="29">
        <f>F13*G13*J13</f>
        <v/>
      </c>
      <c r="M14" s="29" t="n">
        <v>0</v>
      </c>
      <c r="N14" s="28" t="n"/>
      <c r="O14" s="28" t="n"/>
      <c r="P14" s="28" t="n"/>
      <c r="Q14" s="28" t="n"/>
      <c r="R14" s="28" t="n"/>
      <c r="S14" s="28" t="n"/>
      <c r="T14" s="28" t="n"/>
      <c r="U14" s="28" t="n"/>
      <c r="V14" s="28" t="n"/>
      <c r="W14" s="28" t="n"/>
      <c r="X14" s="28" t="n"/>
      <c r="Y14" s="28" t="n"/>
      <c r="Z14" s="28" t="n"/>
      <c r="AA14" s="28" t="n"/>
      <c r="AB14" s="28" t="n"/>
      <c r="AC14" s="28" t="n"/>
      <c r="AD14" s="28" t="n"/>
      <c r="AE14" s="28" t="n"/>
      <c r="AF14" s="28" t="n"/>
      <c r="AG14" s="28" t="n"/>
      <c r="AH14" s="28" t="n">
        <v>996</v>
      </c>
      <c r="AI14" s="28" t="n">
        <v>4</v>
      </c>
      <c r="AJ14" s="28" t="n"/>
      <c r="AK14" s="28" t="n"/>
      <c r="AL14" s="28" t="n"/>
      <c r="AM14" s="28" t="n"/>
      <c r="AN14" s="28" t="n"/>
      <c r="AO14" s="28" t="n"/>
      <c r="AP14" s="28" t="n"/>
      <c r="AQ14" s="28" t="n"/>
      <c r="AR14" s="28" t="n"/>
      <c r="AS14" s="28" t="n"/>
      <c r="AT14" s="28" t="n"/>
      <c r="AU14" s="28" t="n"/>
      <c r="AV14" s="28" t="n"/>
      <c r="AW14" s="28" t="n"/>
      <c r="AX14" s="28" t="n"/>
      <c r="AY14" s="28" t="n"/>
      <c r="AZ14" s="28" t="n"/>
      <c r="BA14" s="28" t="n"/>
      <c r="BB14" s="28" t="n"/>
      <c r="BC14" s="28" t="n"/>
      <c r="BD14" s="28" t="n"/>
      <c r="BE14" s="28" t="n"/>
      <c r="BF14" s="28" t="n"/>
      <c r="BG14" s="28" t="n"/>
      <c r="BH14" s="28" t="n"/>
      <c r="BI14" s="28" t="n"/>
      <c r="BJ14" s="28" t="n"/>
      <c r="BK14" s="28" t="n"/>
      <c r="BL14" s="28" t="n"/>
      <c r="BM14" s="28" t="n"/>
      <c r="BN14" s="28" t="n"/>
      <c r="BO14" s="28" t="n"/>
      <c r="BP14" s="28" t="n"/>
      <c r="BQ14" s="28" t="n"/>
    </row>
  </sheetData>
  <mergeCells count="3">
    <mergeCell ref="A1:H4"/>
    <mergeCell ref="I3:J4"/>
    <mergeCell ref="F5:G5"/>
  </mergeCells>
  <conditionalFormatting sqref="K6">
    <cfRule type="cellIs" priority="65" operator="equal" dxfId="1" stopIfTrue="1">
      <formula>"C-B&gt;10"</formula>
    </cfRule>
    <cfRule type="cellIs" priority="66" operator="equal" dxfId="0" stopIfTrue="1">
      <formula>"C-B&gt;30"</formula>
    </cfRule>
  </conditionalFormatting>
  <conditionalFormatting sqref="L6">
    <cfRule type="cellIs" priority="63" operator="equal" dxfId="1" stopIfTrue="1">
      <formula>"C-B&gt;10"</formula>
    </cfRule>
    <cfRule type="cellIs" priority="64" operator="equal" dxfId="0" stopIfTrue="1">
      <formula>"C-B&gt;30"</formula>
    </cfRule>
  </conditionalFormatting>
  <conditionalFormatting sqref="K7">
    <cfRule type="cellIs" priority="57" operator="equal" dxfId="1" stopIfTrue="1">
      <formula>"C-B&gt;10"</formula>
    </cfRule>
    <cfRule type="cellIs" priority="58" operator="equal" dxfId="0" stopIfTrue="1">
      <formula>"C-B&gt;30"</formula>
    </cfRule>
  </conditionalFormatting>
  <conditionalFormatting sqref="L7">
    <cfRule type="cellIs" priority="55" operator="equal" dxfId="1" stopIfTrue="1">
      <formula>"C-B&gt;10"</formula>
    </cfRule>
    <cfRule type="cellIs" priority="56" operator="equal" dxfId="0" stopIfTrue="1">
      <formula>"C-B&gt;30"</formula>
    </cfRule>
  </conditionalFormatting>
  <conditionalFormatting sqref="K8">
    <cfRule type="cellIs" priority="79" operator="equal" dxfId="1" stopIfTrue="1">
      <formula>"C-B&gt;10"</formula>
    </cfRule>
    <cfRule type="cellIs" priority="80" operator="equal" dxfId="0" stopIfTrue="1">
      <formula>"C-B&gt;30"</formula>
    </cfRule>
  </conditionalFormatting>
  <conditionalFormatting sqref="L8">
    <cfRule type="cellIs" priority="77" operator="equal" dxfId="1" stopIfTrue="1">
      <formula>"C-B&gt;10"</formula>
    </cfRule>
    <cfRule type="cellIs" priority="78" operator="equal" dxfId="0" stopIfTrue="1">
      <formula>"C-B&gt;30"</formula>
    </cfRule>
  </conditionalFormatting>
  <conditionalFormatting sqref="D11">
    <cfRule type="cellIs" priority="39" operator="equal" dxfId="1" stopIfTrue="1">
      <formula>"C-B&gt;10"</formula>
    </cfRule>
    <cfRule type="cellIs" priority="40" operator="equal" dxfId="0" stopIfTrue="1">
      <formula>"C-B&gt;30"</formula>
    </cfRule>
  </conditionalFormatting>
  <conditionalFormatting sqref="K11">
    <cfRule type="cellIs" priority="43" operator="equal" dxfId="1" stopIfTrue="1">
      <formula>"C-B&gt;10"</formula>
    </cfRule>
    <cfRule type="cellIs" priority="44" operator="equal" dxfId="0" stopIfTrue="1">
      <formula>"C-B&gt;30"</formula>
    </cfRule>
  </conditionalFormatting>
  <conditionalFormatting sqref="L11">
    <cfRule type="cellIs" priority="47" operator="equal" dxfId="1" stopIfTrue="1">
      <formula>"C-B&gt;10"</formula>
    </cfRule>
    <cfRule type="cellIs" priority="48" operator="equal" dxfId="0" stopIfTrue="1">
      <formula>"C-B&gt;30"</formula>
    </cfRule>
  </conditionalFormatting>
  <conditionalFormatting sqref="D12">
    <cfRule type="cellIs" priority="13" operator="equal" dxfId="1" stopIfTrue="1">
      <formula>"C-B&gt;10"</formula>
    </cfRule>
    <cfRule type="cellIs" priority="14" operator="equal" dxfId="0" stopIfTrue="1">
      <formula>"C-B&gt;30"</formula>
    </cfRule>
  </conditionalFormatting>
  <conditionalFormatting sqref="L12">
    <cfRule type="cellIs" priority="19" operator="equal" dxfId="1" stopIfTrue="1">
      <formula>"C-B&gt;10"</formula>
    </cfRule>
    <cfRule type="cellIs" priority="20" operator="equal" dxfId="0" stopIfTrue="1">
      <formula>"C-B&gt;30"</formula>
    </cfRule>
  </conditionalFormatting>
  <conditionalFormatting sqref="D13">
    <cfRule type="cellIs" priority="3" operator="equal" dxfId="1" stopIfTrue="1">
      <formula>"C-B&gt;10"</formula>
    </cfRule>
    <cfRule type="cellIs" priority="4" operator="equal" dxfId="0" stopIfTrue="1">
      <formula>"C-B&gt;30"</formula>
    </cfRule>
  </conditionalFormatting>
  <conditionalFormatting sqref="L13">
    <cfRule type="cellIs" priority="9" operator="equal" dxfId="1" stopIfTrue="1">
      <formula>"C-B&gt;10"</formula>
    </cfRule>
    <cfRule type="cellIs" priority="10" operator="equal" dxfId="0" stopIfTrue="1">
      <formula>"C-B&gt;30"</formula>
    </cfRule>
  </conditionalFormatting>
  <conditionalFormatting sqref="D6:D7">
    <cfRule type="cellIs" priority="41" operator="equal" dxfId="1" stopIfTrue="1">
      <formula>"C-B&gt;10"</formula>
    </cfRule>
    <cfRule type="cellIs" priority="42" operator="equal" dxfId="0" stopIfTrue="1">
      <formula>"C-B&gt;30"</formula>
    </cfRule>
  </conditionalFormatting>
  <conditionalFormatting sqref="K9:K10">
    <cfRule type="cellIs" priority="73" operator="equal" dxfId="1" stopIfTrue="1">
      <formula>"C-B&gt;10"</formula>
    </cfRule>
    <cfRule type="cellIs" priority="74" operator="equal" dxfId="0" stopIfTrue="1">
      <formula>"C-B&gt;30"</formula>
    </cfRule>
  </conditionalFormatting>
  <conditionalFormatting sqref="K12:K13">
    <cfRule type="cellIs" priority="1" operator="equal" dxfId="1" stopIfTrue="1">
      <formula>"C-B&gt;10"</formula>
    </cfRule>
    <cfRule type="cellIs" priority="2" operator="equal" dxfId="0" stopIfTrue="1">
      <formula>"C-B&gt;30"</formula>
    </cfRule>
  </conditionalFormatting>
  <conditionalFormatting sqref="L9:L10">
    <cfRule type="cellIs" priority="71" operator="equal" dxfId="1" stopIfTrue="1">
      <formula>"C-B&gt;10"</formula>
    </cfRule>
    <cfRule type="cellIs" priority="72" operator="equal" dxfId="0" stopIfTrue="1">
      <formula>"C-B&gt;30"</formula>
    </cfRule>
  </conditionalFormatting>
  <conditionalFormatting sqref="A6:C6 E6:G6">
    <cfRule type="cellIs" priority="61" operator="equal" dxfId="1" stopIfTrue="1">
      <formula>"C-B&gt;10"</formula>
    </cfRule>
    <cfRule type="cellIs" priority="62" operator="equal" dxfId="0" stopIfTrue="1">
      <formula>"C-B&gt;30"</formula>
    </cfRule>
  </conditionalFormatting>
  <conditionalFormatting sqref="H6 J6">
    <cfRule type="cellIs" priority="67" operator="equal" dxfId="1" stopIfTrue="1">
      <formula>"C-B&gt;10"</formula>
    </cfRule>
    <cfRule type="cellIs" priority="68" operator="equal" dxfId="0" stopIfTrue="1">
      <formula>"C-B&gt;30"</formula>
    </cfRule>
  </conditionalFormatting>
  <conditionalFormatting sqref="A7:C7 E7:G7">
    <cfRule type="cellIs" priority="53" operator="equal" dxfId="1" stopIfTrue="1">
      <formula>"C-B&gt;10"</formula>
    </cfRule>
    <cfRule type="cellIs" priority="54" operator="equal" dxfId="0" stopIfTrue="1">
      <formula>"C-B&gt;30"</formula>
    </cfRule>
  </conditionalFormatting>
  <conditionalFormatting sqref="H7 J7">
    <cfRule type="cellIs" priority="59" operator="equal" dxfId="1" stopIfTrue="1">
      <formula>"C-B&gt;10"</formula>
    </cfRule>
    <cfRule type="cellIs" priority="60" operator="equal" dxfId="0" stopIfTrue="1">
      <formula>"C-B&gt;30"</formula>
    </cfRule>
  </conditionalFormatting>
  <conditionalFormatting sqref="A8:G10">
    <cfRule type="cellIs" priority="69" operator="equal" dxfId="1" stopIfTrue="1">
      <formula>"C-B&gt;10"</formula>
    </cfRule>
    <cfRule type="cellIs" priority="70" operator="equal" dxfId="0" stopIfTrue="1">
      <formula>"C-B&gt;30"</formula>
    </cfRule>
  </conditionalFormatting>
  <conditionalFormatting sqref="H8 J8">
    <cfRule type="cellIs" priority="81" operator="equal" dxfId="1" stopIfTrue="1">
      <formula>"C-B&gt;10"</formula>
    </cfRule>
    <cfRule type="cellIs" priority="82" operator="equal" dxfId="0" stopIfTrue="1">
      <formula>"C-B&gt;30"</formula>
    </cfRule>
  </conditionalFormatting>
  <conditionalFormatting sqref="H9 H10 J9 J10">
    <cfRule type="cellIs" priority="75" operator="equal" dxfId="1" stopIfTrue="1">
      <formula>"C-B&gt;10"</formula>
    </cfRule>
    <cfRule type="cellIs" priority="76" operator="equal" dxfId="0" stopIfTrue="1">
      <formula>"C-B&gt;30"</formula>
    </cfRule>
  </conditionalFormatting>
  <conditionalFormatting sqref="A11:C11 E11:G11">
    <cfRule type="cellIs" priority="45" operator="equal" dxfId="1" stopIfTrue="1">
      <formula>"C-B&gt;10"</formula>
    </cfRule>
    <cfRule type="cellIs" priority="46" operator="equal" dxfId="0" stopIfTrue="1">
      <formula>"C-B&gt;30"</formula>
    </cfRule>
  </conditionalFormatting>
  <conditionalFormatting sqref="H11 J11">
    <cfRule type="cellIs" priority="51" operator="equal" dxfId="1" stopIfTrue="1">
      <formula>"C-B&gt;10"</formula>
    </cfRule>
    <cfRule type="cellIs" priority="52" operator="equal" dxfId="0" stopIfTrue="1">
      <formula>"C-B&gt;30"</formula>
    </cfRule>
  </conditionalFormatting>
  <conditionalFormatting sqref="A12:C12 E12:G12">
    <cfRule type="cellIs" priority="17" operator="equal" dxfId="1" stopIfTrue="1">
      <formula>"C-B&gt;10"</formula>
    </cfRule>
    <cfRule type="cellIs" priority="18" operator="equal" dxfId="0" stopIfTrue="1">
      <formula>"C-B&gt;30"</formula>
    </cfRule>
  </conditionalFormatting>
  <conditionalFormatting sqref="H12 J12">
    <cfRule type="cellIs" priority="21" operator="equal" dxfId="1" stopIfTrue="1">
      <formula>"C-B&gt;10"</formula>
    </cfRule>
    <cfRule type="cellIs" priority="22" operator="equal" dxfId="0" stopIfTrue="1">
      <formula>"C-B&gt;30"</formula>
    </cfRule>
  </conditionalFormatting>
  <conditionalFormatting sqref="A13:C13 E13:G13">
    <cfRule type="cellIs" priority="7" operator="equal" dxfId="1" stopIfTrue="1">
      <formula>"C-B&gt;10"</formula>
    </cfRule>
    <cfRule type="cellIs" priority="8" operator="equal" dxfId="0" stopIfTrue="1">
      <formula>"C-B&gt;30"</formula>
    </cfRule>
  </conditionalFormatting>
  <conditionalFormatting sqref="H13 J13">
    <cfRule type="cellIs" priority="11" operator="equal" dxfId="1" stopIfTrue="1">
      <formula>"C-B&gt;10"</formula>
    </cfRule>
    <cfRule type="cellIs" priority="12" operator="equal" dxfId="0" stopIfTrue="1">
      <formula>"C-B&gt;30"</formula>
    </cfRule>
  </conditionalFormatting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eet11">
    <outlinePr summaryBelow="1" summaryRight="1"/>
    <pageSetUpPr/>
  </sheetPr>
  <dimension ref="A1:BR11"/>
  <sheetViews>
    <sheetView showGridLines="0" zoomScale="70" zoomScaleNormal="70" workbookViewId="0">
      <pane xSplit="12" ySplit="4" topLeftCell="M5" activePane="bottomRight" state="frozen"/>
      <selection pane="topRight" activeCell="A1" sqref="A1"/>
      <selection pane="bottomLeft" activeCell="A1" sqref="A1"/>
      <selection pane="bottomRight" activeCell="R13" sqref="R13"/>
    </sheetView>
  </sheetViews>
  <sheetFormatPr baseColWidth="10" defaultColWidth="8.83203125" defaultRowHeight="15"/>
  <cols>
    <col width="17.83203125" customWidth="1" style="91" min="1" max="1"/>
    <col width="11.83203125" customWidth="1" style="91" min="2" max="2"/>
    <col width="14.83203125" customWidth="1" style="91" min="3" max="3"/>
    <col width="21.83203125" customWidth="1" style="91" min="4" max="4"/>
    <col width="60.6640625" customWidth="1" style="91" min="5" max="5"/>
    <col width="8.83203125" customWidth="1" style="3" min="8" max="8"/>
    <col width="10.1640625" customWidth="1" style="3" min="9" max="9"/>
    <col width="11.83203125" customWidth="1" style="91" min="10" max="10"/>
    <col width="12.83203125" customWidth="1" style="91" min="11" max="11"/>
    <col width="12.5" customWidth="1" style="91" min="12" max="12"/>
    <col width="10.1640625" customWidth="1" style="91" min="13" max="16"/>
    <col width="9" customWidth="1" style="91" min="17" max="17"/>
    <col width="10.1640625" customWidth="1" style="91" min="18" max="18"/>
    <col width="9" customWidth="1" style="91" min="19" max="69"/>
  </cols>
  <sheetData>
    <row r="1" ht="16.25" customFormat="1" customHeight="1" s="101">
      <c r="A1" s="100" t="inlineStr">
        <is>
          <t>BD-3#拉拉裤</t>
        </is>
      </c>
      <c r="J1" s="4" t="inlineStr">
        <is>
          <t>单班</t>
        </is>
      </c>
      <c r="K1" s="4" t="n">
        <v>178200</v>
      </c>
      <c r="L1" s="5" t="inlineStr">
        <is>
          <t>未排产计划</t>
        </is>
      </c>
      <c r="M1" s="107" t="n"/>
    </row>
    <row r="2" ht="16.25" customFormat="1" customHeight="1" s="101">
      <c r="J2" s="4" t="inlineStr">
        <is>
          <t>双班</t>
        </is>
      </c>
      <c r="K2" s="4" t="n">
        <v>324000</v>
      </c>
      <c r="L2" s="5" t="inlineStr">
        <is>
          <t>4月排产计划</t>
        </is>
      </c>
      <c r="M2" s="108">
        <f>SUM(#REF!)</f>
        <v/>
      </c>
      <c r="N2" s="109" t="inlineStr">
        <is>
          <t>双</t>
        </is>
      </c>
      <c r="O2" s="109" t="inlineStr">
        <is>
          <t>双</t>
        </is>
      </c>
      <c r="P2" s="109" t="inlineStr">
        <is>
          <t>双</t>
        </is>
      </c>
      <c r="Q2" s="109" t="inlineStr">
        <is>
          <t>双</t>
        </is>
      </c>
      <c r="R2" s="109" t="inlineStr"/>
      <c r="S2" s="109" t="inlineStr">
        <is>
          <t>双</t>
        </is>
      </c>
      <c r="T2" s="109" t="inlineStr">
        <is>
          <t>双</t>
        </is>
      </c>
      <c r="U2" s="109" t="inlineStr">
        <is>
          <t>双</t>
        </is>
      </c>
      <c r="V2" s="109" t="inlineStr">
        <is>
          <t>双</t>
        </is>
      </c>
      <c r="W2" s="109" t="inlineStr">
        <is>
          <t>双</t>
        </is>
      </c>
      <c r="X2" s="109" t="inlineStr">
        <is>
          <t>双</t>
        </is>
      </c>
      <c r="Y2" s="109" t="inlineStr"/>
      <c r="Z2" s="109" t="inlineStr">
        <is>
          <t>双</t>
        </is>
      </c>
      <c r="AA2" s="109" t="inlineStr">
        <is>
          <t>双</t>
        </is>
      </c>
      <c r="AB2" s="109" t="inlineStr">
        <is>
          <t>双</t>
        </is>
      </c>
      <c r="AC2" s="109" t="inlineStr">
        <is>
          <t>双</t>
        </is>
      </c>
      <c r="AD2" s="109" t="inlineStr">
        <is>
          <t>双</t>
        </is>
      </c>
      <c r="AE2" s="109" t="inlineStr">
        <is>
          <t>双</t>
        </is>
      </c>
      <c r="AF2" s="109" t="inlineStr"/>
      <c r="AG2" s="109" t="inlineStr">
        <is>
          <t>双</t>
        </is>
      </c>
      <c r="AH2" s="109" t="inlineStr">
        <is>
          <t>双</t>
        </is>
      </c>
      <c r="AI2" s="109" t="inlineStr">
        <is>
          <t>双</t>
        </is>
      </c>
      <c r="AJ2" s="109" t="inlineStr">
        <is>
          <t>双</t>
        </is>
      </c>
      <c r="AK2" s="109" t="inlineStr">
        <is>
          <t>双</t>
        </is>
      </c>
      <c r="AL2" s="109" t="inlineStr">
        <is>
          <t>双</t>
        </is>
      </c>
      <c r="AM2" s="109" t="inlineStr"/>
      <c r="AN2" s="109" t="inlineStr">
        <is>
          <t>双</t>
        </is>
      </c>
      <c r="AO2" s="109" t="inlineStr">
        <is>
          <t>双</t>
        </is>
      </c>
      <c r="AP2" s="109" t="inlineStr">
        <is>
          <t>双</t>
        </is>
      </c>
      <c r="AQ2" s="109" t="inlineStr">
        <is>
          <t>双</t>
        </is>
      </c>
      <c r="AR2" s="109" t="inlineStr">
        <is>
          <t>双</t>
        </is>
      </c>
      <c r="AS2" s="109" t="inlineStr">
        <is>
          <t>双</t>
        </is>
      </c>
      <c r="AT2" s="109" t="inlineStr"/>
      <c r="AU2" s="109" t="inlineStr">
        <is>
          <t>双</t>
        </is>
      </c>
      <c r="AV2" s="109" t="inlineStr">
        <is>
          <t>双</t>
        </is>
      </c>
      <c r="AW2" s="109" t="inlineStr">
        <is>
          <t>双</t>
        </is>
      </c>
      <c r="AX2" s="109" t="inlineStr">
        <is>
          <t>双</t>
        </is>
      </c>
      <c r="AY2" s="109" t="inlineStr">
        <is>
          <t>双</t>
        </is>
      </c>
      <c r="AZ2" s="109" t="inlineStr">
        <is>
          <t>双</t>
        </is>
      </c>
      <c r="BA2" s="109" t="inlineStr"/>
      <c r="BB2" s="109" t="inlineStr">
        <is>
          <t>双</t>
        </is>
      </c>
      <c r="BC2" s="109" t="inlineStr">
        <is>
          <t>双</t>
        </is>
      </c>
      <c r="BD2" s="109" t="inlineStr">
        <is>
          <t>双</t>
        </is>
      </c>
      <c r="BE2" s="109" t="inlineStr">
        <is>
          <t>双</t>
        </is>
      </c>
      <c r="BF2" s="109" t="inlineStr">
        <is>
          <t>双</t>
        </is>
      </c>
      <c r="BG2" s="109" t="inlineStr">
        <is>
          <t>双</t>
        </is>
      </c>
      <c r="BH2" s="109" t="inlineStr"/>
      <c r="BI2" s="109" t="inlineStr">
        <is>
          <t>双</t>
        </is>
      </c>
      <c r="BJ2" s="109" t="inlineStr">
        <is>
          <t>双</t>
        </is>
      </c>
      <c r="BK2" s="109" t="inlineStr">
        <is>
          <t>双</t>
        </is>
      </c>
      <c r="BL2" s="109" t="inlineStr">
        <is>
          <t>双</t>
        </is>
      </c>
      <c r="BM2" s="109" t="inlineStr">
        <is>
          <t>双</t>
        </is>
      </c>
      <c r="BN2" s="109" t="inlineStr">
        <is>
          <t>双</t>
        </is>
      </c>
      <c r="BO2" s="109" t="inlineStr">
        <is>
          <t>双</t>
        </is>
      </c>
      <c r="BP2" s="109" t="inlineStr">
        <is>
          <t>双</t>
        </is>
      </c>
      <c r="BQ2" s="109" t="inlineStr">
        <is>
          <t>双</t>
        </is>
      </c>
      <c r="BR2" s="109" t="inlineStr">
        <is>
          <t>双</t>
        </is>
      </c>
    </row>
    <row r="3" ht="17" customFormat="1" customHeight="1" s="101">
      <c r="J3" s="102" t="n"/>
      <c r="K3" s="103" t="n"/>
      <c r="N3" s="0">
        <f>MAX(0,ROWS(UNIQUE(FILTER($F7:$F11,(N7:N11&gt;0)*($F7:$F11&lt;&gt;""))))-1)*IF(N2="双",VLOOKUP($A$1,'换码设置'!$A:$C,2,FALSE),IF(N2="单",VLOOKUP($A$1,'换码设置'!$A:$C,3,FALSE),0))</f>
        <v/>
      </c>
      <c r="O3" s="0">
        <f>MAX(0,ROWS(UNIQUE(FILTER($F7:$F11,(O7:O11&gt;0)*($F7:$F11&lt;&gt;""))))-1)*IF(O2="双",VLOOKUP($A$1,'换码设置'!$A:$C,2,FALSE),IF(O2="单",VLOOKUP($A$1,'换码设置'!$A:$C,3,FALSE),0))</f>
        <v/>
      </c>
      <c r="P3" s="0">
        <f>MAX(0,ROWS(UNIQUE(FILTER($F7:$F11,(P7:P11&gt;0)*($F7:$F11&lt;&gt;""))))-1)*IF(P2="双",VLOOKUP($A$1,'换码设置'!$A:$C,2,FALSE),IF(P2="单",VLOOKUP($A$1,'换码设置'!$A:$C,3,FALSE),0))</f>
        <v/>
      </c>
      <c r="Q3" s="0">
        <f>MAX(0,ROWS(UNIQUE(FILTER($F7:$F11,(Q7:Q11&gt;0)*($F7:$F11&lt;&gt;""))))-1)*IF(Q2="双",VLOOKUP($A$1,'换码设置'!$A:$C,2,FALSE),IF(Q2="单",VLOOKUP($A$1,'换码设置'!$A:$C,3,FALSE),0))</f>
        <v/>
      </c>
      <c r="R3" s="0">
        <f>MAX(0,ROWS(UNIQUE(FILTER($F7:$F11,(R7:R11&gt;0)*($F7:$F11&lt;&gt;""))))-1)*IF(R2="双",VLOOKUP($A$1,'换码设置'!$A:$C,2,FALSE),IF(R2="单",VLOOKUP($A$1,'换码设置'!$A:$C,3,FALSE),0))</f>
        <v/>
      </c>
      <c r="S3" s="0">
        <f>MAX(0,ROWS(UNIQUE(FILTER($F7:$F11,(S7:S11&gt;0)*($F7:$F11&lt;&gt;""))))-1)*IF(S2="双",VLOOKUP($A$1,'换码设置'!$A:$C,2,FALSE),IF(S2="单",VLOOKUP($A$1,'换码设置'!$A:$C,3,FALSE),0))</f>
        <v/>
      </c>
      <c r="T3" s="0">
        <f>MAX(0,ROWS(UNIQUE(FILTER($F7:$F11,(T7:T11&gt;0)*($F7:$F11&lt;&gt;""))))-1)*IF(T2="双",VLOOKUP($A$1,'换码设置'!$A:$C,2,FALSE),IF(T2="单",VLOOKUP($A$1,'换码设置'!$A:$C,3,FALSE),0))</f>
        <v/>
      </c>
      <c r="U3" s="0">
        <f>MAX(0,ROWS(UNIQUE(FILTER($F7:$F11,(U7:U11&gt;0)*($F7:$F11&lt;&gt;""))))-1)*IF(U2="双",VLOOKUP($A$1,'换码设置'!$A:$C,2,FALSE),IF(U2="单",VLOOKUP($A$1,'换码设置'!$A:$C,3,FALSE),0))</f>
        <v/>
      </c>
      <c r="V3" s="0">
        <f>MAX(0,ROWS(UNIQUE(FILTER($F7:$F11,(V7:V11&gt;0)*($F7:$F11&lt;&gt;""))))-1)*IF(V2="双",VLOOKUP($A$1,'换码设置'!$A:$C,2,FALSE),IF(V2="单",VLOOKUP($A$1,'换码设置'!$A:$C,3,FALSE),0))</f>
        <v/>
      </c>
      <c r="W3" s="0">
        <f>MAX(0,ROWS(UNIQUE(FILTER($F7:$F11,(W7:W11&gt;0)*($F7:$F11&lt;&gt;""))))-1)*IF(W2="双",VLOOKUP($A$1,'换码设置'!$A:$C,2,FALSE),IF(W2="单",VLOOKUP($A$1,'换码设置'!$A:$C,3,FALSE),0))</f>
        <v/>
      </c>
      <c r="X3" s="0">
        <f>MAX(0,ROWS(UNIQUE(FILTER($F7:$F11,(X7:X11&gt;0)*($F7:$F11&lt;&gt;""))))-1)*IF(X2="双",VLOOKUP($A$1,'换码设置'!$A:$C,2,FALSE),IF(X2="单",VLOOKUP($A$1,'换码设置'!$A:$C,3,FALSE),0))</f>
        <v/>
      </c>
      <c r="Y3" s="0">
        <f>MAX(0,ROWS(UNIQUE(FILTER($F7:$F11,(Y7:Y11&gt;0)*($F7:$F11&lt;&gt;""))))-1)*IF(Y2="双",VLOOKUP($A$1,'换码设置'!$A:$C,2,FALSE),IF(Y2="单",VLOOKUP($A$1,'换码设置'!$A:$C,3,FALSE),0))</f>
        <v/>
      </c>
      <c r="Z3" s="0">
        <f>MAX(0,ROWS(UNIQUE(FILTER($F7:$F11,(Z7:Z11&gt;0)*($F7:$F11&lt;&gt;""))))-1)*IF(Z2="双",VLOOKUP($A$1,'换码设置'!$A:$C,2,FALSE),IF(Z2="单",VLOOKUP($A$1,'换码设置'!$A:$C,3,FALSE),0))</f>
        <v/>
      </c>
      <c r="AA3" s="0">
        <f>MAX(0,ROWS(UNIQUE(FILTER($F7:$F11,(AA7:AA11&gt;0)*($F7:$F11&lt;&gt;""))))-1)*IF(AA2="双",VLOOKUP($A$1,'换码设置'!$A:$C,2,FALSE),IF(AA2="单",VLOOKUP($A$1,'换码设置'!$A:$C,3,FALSE),0))</f>
        <v/>
      </c>
      <c r="AB3" s="0">
        <f>MAX(0,ROWS(UNIQUE(FILTER($F7:$F11,(AB7:AB11&gt;0)*($F7:$F11&lt;&gt;""))))-1)*IF(AB2="双",VLOOKUP($A$1,'换码设置'!$A:$C,2,FALSE),IF(AB2="单",VLOOKUP($A$1,'换码设置'!$A:$C,3,FALSE),0))</f>
        <v/>
      </c>
      <c r="AC3" s="0">
        <f>MAX(0,ROWS(UNIQUE(FILTER($F7:$F11,(AC7:AC11&gt;0)*($F7:$F11&lt;&gt;""))))-1)*IF(AC2="双",VLOOKUP($A$1,'换码设置'!$A:$C,2,FALSE),IF(AC2="单",VLOOKUP($A$1,'换码设置'!$A:$C,3,FALSE),0))</f>
        <v/>
      </c>
      <c r="AD3" s="0">
        <f>MAX(0,ROWS(UNIQUE(FILTER($F7:$F11,(AD7:AD11&gt;0)*($F7:$F11&lt;&gt;""))))-1)*IF(AD2="双",VLOOKUP($A$1,'换码设置'!$A:$C,2,FALSE),IF(AD2="单",VLOOKUP($A$1,'换码设置'!$A:$C,3,FALSE),0))</f>
        <v/>
      </c>
      <c r="AE3" s="0">
        <f>MAX(0,ROWS(UNIQUE(FILTER($F7:$F11,(AE7:AE11&gt;0)*($F7:$F11&lt;&gt;""))))-1)*IF(AE2="双",VLOOKUP($A$1,'换码设置'!$A:$C,2,FALSE),IF(AE2="单",VLOOKUP($A$1,'换码设置'!$A:$C,3,FALSE),0))</f>
        <v/>
      </c>
      <c r="AF3" s="0">
        <f>MAX(0,ROWS(UNIQUE(FILTER($F7:$F11,(AF7:AF11&gt;0)*($F7:$F11&lt;&gt;""))))-1)*IF(AF2="双",VLOOKUP($A$1,'换码设置'!$A:$C,2,FALSE),IF(AF2="单",VLOOKUP($A$1,'换码设置'!$A:$C,3,FALSE),0))</f>
        <v/>
      </c>
      <c r="AG3" s="0">
        <f>MAX(0,ROWS(UNIQUE(FILTER($F7:$F11,(AG7:AG11&gt;0)*($F7:$F11&lt;&gt;""))))-1)*IF(AG2="双",VLOOKUP($A$1,'换码设置'!$A:$C,2,FALSE),IF(AG2="单",VLOOKUP($A$1,'换码设置'!$A:$C,3,FALSE),0))</f>
        <v/>
      </c>
      <c r="AH3" s="0">
        <f>MAX(0,ROWS(UNIQUE(FILTER($F7:$F11,(AH7:AH11&gt;0)*($F7:$F11&lt;&gt;""))))-1)*IF(AH2="双",VLOOKUP($A$1,'换码设置'!$A:$C,2,FALSE),IF(AH2="单",VLOOKUP($A$1,'换码设置'!$A:$C,3,FALSE),0))</f>
        <v/>
      </c>
      <c r="AI3" s="0">
        <f>MAX(0,ROWS(UNIQUE(FILTER($F7:$F11,(AI7:AI11&gt;0)*($F7:$F11&lt;&gt;""))))-1)*IF(AI2="双",VLOOKUP($A$1,'换码设置'!$A:$C,2,FALSE),IF(AI2="单",VLOOKUP($A$1,'换码设置'!$A:$C,3,FALSE),0))</f>
        <v/>
      </c>
      <c r="AJ3" s="0">
        <f>MAX(0,ROWS(UNIQUE(FILTER($F7:$F11,(AJ7:AJ11&gt;0)*($F7:$F11&lt;&gt;""))))-1)*IF(AJ2="双",VLOOKUP($A$1,'换码设置'!$A:$C,2,FALSE),IF(AJ2="单",VLOOKUP($A$1,'换码设置'!$A:$C,3,FALSE),0))</f>
        <v/>
      </c>
      <c r="AK3" s="0">
        <f>MAX(0,ROWS(UNIQUE(FILTER($F7:$F11,(AK7:AK11&gt;0)*($F7:$F11&lt;&gt;""))))-1)*IF(AK2="双",VLOOKUP($A$1,'换码设置'!$A:$C,2,FALSE),IF(AK2="单",VLOOKUP($A$1,'换码设置'!$A:$C,3,FALSE),0))</f>
        <v/>
      </c>
      <c r="AL3" s="0">
        <f>MAX(0,ROWS(UNIQUE(FILTER($F7:$F11,(AL7:AL11&gt;0)*($F7:$F11&lt;&gt;""))))-1)*IF(AL2="双",VLOOKUP($A$1,'换码设置'!$A:$C,2,FALSE),IF(AL2="单",VLOOKUP($A$1,'换码设置'!$A:$C,3,FALSE),0))</f>
        <v/>
      </c>
      <c r="AM3" s="0">
        <f>MAX(0,ROWS(UNIQUE(FILTER($F7:$F11,(AM7:AM11&gt;0)*($F7:$F11&lt;&gt;""))))-1)*IF(AM2="双",VLOOKUP($A$1,'换码设置'!$A:$C,2,FALSE),IF(AM2="单",VLOOKUP($A$1,'换码设置'!$A:$C,3,FALSE),0))</f>
        <v/>
      </c>
      <c r="AN3" s="0">
        <f>MAX(0,ROWS(UNIQUE(FILTER($F7:$F11,(AN7:AN11&gt;0)*($F7:$F11&lt;&gt;""))))-1)*IF(AN2="双",VLOOKUP($A$1,'换码设置'!$A:$C,2,FALSE),IF(AN2="单",VLOOKUP($A$1,'换码设置'!$A:$C,3,FALSE),0))</f>
        <v/>
      </c>
      <c r="AO3" s="0">
        <f>MAX(0,ROWS(UNIQUE(FILTER($F7:$F11,(AO7:AO11&gt;0)*($F7:$F11&lt;&gt;""))))-1)*IF(AO2="双",VLOOKUP($A$1,'换码设置'!$A:$C,2,FALSE),IF(AO2="单",VLOOKUP($A$1,'换码设置'!$A:$C,3,FALSE),0))</f>
        <v/>
      </c>
      <c r="AP3" s="0">
        <f>MAX(0,ROWS(UNIQUE(FILTER($F7:$F11,(AP7:AP11&gt;0)*($F7:$F11&lt;&gt;""))))-1)*IF(AP2="双",VLOOKUP($A$1,'换码设置'!$A:$C,2,FALSE),IF(AP2="单",VLOOKUP($A$1,'换码设置'!$A:$C,3,FALSE),0))</f>
        <v/>
      </c>
      <c r="AQ3" s="0">
        <f>MAX(0,ROWS(UNIQUE(FILTER($F7:$F11,(AQ7:AQ11&gt;0)*($F7:$F11&lt;&gt;""))))-1)*IF(AQ2="双",VLOOKUP($A$1,'换码设置'!$A:$C,2,FALSE),IF(AQ2="单",VLOOKUP($A$1,'换码设置'!$A:$C,3,FALSE),0))</f>
        <v/>
      </c>
      <c r="AR3" s="0">
        <f>MAX(0,ROWS(UNIQUE(FILTER($F7:$F11,(AR7:AR11&gt;0)*($F7:$F11&lt;&gt;""))))-1)*IF(AR2="双",VLOOKUP($A$1,'换码设置'!$A:$C,2,FALSE),IF(AR2="单",VLOOKUP($A$1,'换码设置'!$A:$C,3,FALSE),0))</f>
        <v/>
      </c>
      <c r="AS3" s="0">
        <f>MAX(0,ROWS(UNIQUE(FILTER($F7:$F11,(AS7:AS11&gt;0)*($F7:$F11&lt;&gt;""))))-1)*IF(AS2="双",VLOOKUP($A$1,'换码设置'!$A:$C,2,FALSE),IF(AS2="单",VLOOKUP($A$1,'换码设置'!$A:$C,3,FALSE),0))</f>
        <v/>
      </c>
      <c r="AT3" s="0">
        <f>MAX(0,ROWS(UNIQUE(FILTER($F7:$F11,(AT7:AT11&gt;0)*($F7:$F11&lt;&gt;""))))-1)*IF(AT2="双",VLOOKUP($A$1,'换码设置'!$A:$C,2,FALSE),IF(AT2="单",VLOOKUP($A$1,'换码设置'!$A:$C,3,FALSE),0))</f>
        <v/>
      </c>
      <c r="AU3" s="0">
        <f>MAX(0,ROWS(UNIQUE(FILTER($F7:$F11,(AU7:AU11&gt;0)*($F7:$F11&lt;&gt;""))))-1)*IF(AU2="双",VLOOKUP($A$1,'换码设置'!$A:$C,2,FALSE),IF(AU2="单",VLOOKUP($A$1,'换码设置'!$A:$C,3,FALSE),0))</f>
        <v/>
      </c>
      <c r="AV3" s="0">
        <f>MAX(0,ROWS(UNIQUE(FILTER($F7:$F11,(AV7:AV11&gt;0)*($F7:$F11&lt;&gt;""))))-1)*IF(AV2="双",VLOOKUP($A$1,'换码设置'!$A:$C,2,FALSE),IF(AV2="单",VLOOKUP($A$1,'换码设置'!$A:$C,3,FALSE),0))</f>
        <v/>
      </c>
      <c r="AW3" s="0">
        <f>MAX(0,ROWS(UNIQUE(FILTER($F7:$F11,(AW7:AW11&gt;0)*($F7:$F11&lt;&gt;""))))-1)*IF(AW2="双",VLOOKUP($A$1,'换码设置'!$A:$C,2,FALSE),IF(AW2="单",VLOOKUP($A$1,'换码设置'!$A:$C,3,FALSE),0))</f>
        <v/>
      </c>
      <c r="AX3" s="0">
        <f>MAX(0,ROWS(UNIQUE(FILTER($F7:$F11,(AX7:AX11&gt;0)*($F7:$F11&lt;&gt;""))))-1)*IF(AX2="双",VLOOKUP($A$1,'换码设置'!$A:$C,2,FALSE),IF(AX2="单",VLOOKUP($A$1,'换码设置'!$A:$C,3,FALSE),0))</f>
        <v/>
      </c>
      <c r="AY3" s="0">
        <f>MAX(0,ROWS(UNIQUE(FILTER($F7:$F11,(AY7:AY11&gt;0)*($F7:$F11&lt;&gt;""))))-1)*IF(AY2="双",VLOOKUP($A$1,'换码设置'!$A:$C,2,FALSE),IF(AY2="单",VLOOKUP($A$1,'换码设置'!$A:$C,3,FALSE),0))</f>
        <v/>
      </c>
      <c r="AZ3" s="0">
        <f>MAX(0,ROWS(UNIQUE(FILTER($F7:$F11,(AZ7:AZ11&gt;0)*($F7:$F11&lt;&gt;""))))-1)*IF(AZ2="双",VLOOKUP($A$1,'换码设置'!$A:$C,2,FALSE),IF(AZ2="单",VLOOKUP($A$1,'换码设置'!$A:$C,3,FALSE),0))</f>
        <v/>
      </c>
      <c r="BA3" s="0">
        <f>MAX(0,ROWS(UNIQUE(FILTER($F7:$F11,(BA7:BA11&gt;0)*($F7:$F11&lt;&gt;""))))-1)*IF(BA2="双",VLOOKUP($A$1,'换码设置'!$A:$C,2,FALSE),IF(BA2="单",VLOOKUP($A$1,'换码设置'!$A:$C,3,FALSE),0))</f>
        <v/>
      </c>
      <c r="BB3" s="0">
        <f>MAX(0,ROWS(UNIQUE(FILTER($F7:$F11,(BB7:BB11&gt;0)*($F7:$F11&lt;&gt;""))))-1)*IF(BB2="双",VLOOKUP($A$1,'换码设置'!$A:$C,2,FALSE),IF(BB2="单",VLOOKUP($A$1,'换码设置'!$A:$C,3,FALSE),0))</f>
        <v/>
      </c>
      <c r="BC3" s="0">
        <f>MAX(0,ROWS(UNIQUE(FILTER($F7:$F11,(BC7:BC11&gt;0)*($F7:$F11&lt;&gt;""))))-1)*IF(BC2="双",VLOOKUP($A$1,'换码设置'!$A:$C,2,FALSE),IF(BC2="单",VLOOKUP($A$1,'换码设置'!$A:$C,3,FALSE),0))</f>
        <v/>
      </c>
      <c r="BD3" s="0">
        <f>MAX(0,ROWS(UNIQUE(FILTER($F7:$F11,(BD7:BD11&gt;0)*($F7:$F11&lt;&gt;""))))-1)*IF(BD2="双",VLOOKUP($A$1,'换码设置'!$A:$C,2,FALSE),IF(BD2="单",VLOOKUP($A$1,'换码设置'!$A:$C,3,FALSE),0))</f>
        <v/>
      </c>
      <c r="BE3" s="0">
        <f>MAX(0,ROWS(UNIQUE(FILTER($F7:$F11,(BE7:BE11&gt;0)*($F7:$F11&lt;&gt;""))))-1)*IF(BE2="双",VLOOKUP($A$1,'换码设置'!$A:$C,2,FALSE),IF(BE2="单",VLOOKUP($A$1,'换码设置'!$A:$C,3,FALSE),0))</f>
        <v/>
      </c>
      <c r="BF3" s="0">
        <f>MAX(0,ROWS(UNIQUE(FILTER($F7:$F11,(BF7:BF11&gt;0)*($F7:$F11&lt;&gt;""))))-1)*IF(BF2="双",VLOOKUP($A$1,'换码设置'!$A:$C,2,FALSE),IF(BF2="单",VLOOKUP($A$1,'换码设置'!$A:$C,3,FALSE),0))</f>
        <v/>
      </c>
      <c r="BG3" s="0">
        <f>MAX(0,ROWS(UNIQUE(FILTER($F7:$F11,(BG7:BG11&gt;0)*($F7:$F11&lt;&gt;""))))-1)*IF(BG2="双",VLOOKUP($A$1,'换码设置'!$A:$C,2,FALSE),IF(BG2="单",VLOOKUP($A$1,'换码设置'!$A:$C,3,FALSE),0))</f>
        <v/>
      </c>
      <c r="BH3" s="0">
        <f>MAX(0,ROWS(UNIQUE(FILTER($F7:$F11,(BH7:BH11&gt;0)*($F7:$F11&lt;&gt;""))))-1)*IF(BH2="双",VLOOKUP($A$1,'换码设置'!$A:$C,2,FALSE),IF(BH2="单",VLOOKUP($A$1,'换码设置'!$A:$C,3,FALSE),0))</f>
        <v/>
      </c>
      <c r="BI3" s="0">
        <f>MAX(0,ROWS(UNIQUE(FILTER($F7:$F11,(BI7:BI11&gt;0)*($F7:$F11&lt;&gt;""))))-1)*IF(BI2="双",VLOOKUP($A$1,'换码设置'!$A:$C,2,FALSE),IF(BI2="单",VLOOKUP($A$1,'换码设置'!$A:$C,3,FALSE),0))</f>
        <v/>
      </c>
      <c r="BJ3" s="0">
        <f>MAX(0,ROWS(UNIQUE(FILTER($F7:$F11,(BJ7:BJ11&gt;0)*($F7:$F11&lt;&gt;""))))-1)*IF(BJ2="双",VLOOKUP($A$1,'换码设置'!$A:$C,2,FALSE),IF(BJ2="单",VLOOKUP($A$1,'换码设置'!$A:$C,3,FALSE),0))</f>
        <v/>
      </c>
      <c r="BK3" s="0">
        <f>MAX(0,ROWS(UNIQUE(FILTER($F7:$F11,(BK7:BK11&gt;0)*($F7:$F11&lt;&gt;""))))-1)*IF(BK2="双",VLOOKUP($A$1,'换码设置'!$A:$C,2,FALSE),IF(BK2="单",VLOOKUP($A$1,'换码设置'!$A:$C,3,FALSE),0))</f>
        <v/>
      </c>
      <c r="BL3" s="0">
        <f>MAX(0,ROWS(UNIQUE(FILTER($F7:$F11,(BL7:BL11&gt;0)*($F7:$F11&lt;&gt;""))))-1)*IF(BL2="双",VLOOKUP($A$1,'换码设置'!$A:$C,2,FALSE),IF(BL2="单",VLOOKUP($A$1,'换码设置'!$A:$C,3,FALSE),0))</f>
        <v/>
      </c>
      <c r="BM3" s="0">
        <f>MAX(0,ROWS(UNIQUE(FILTER($F7:$F11,(BM7:BM11&gt;0)*($F7:$F11&lt;&gt;""))))-1)*IF(BM2="双",VLOOKUP($A$1,'换码设置'!$A:$C,2,FALSE),IF(BM2="单",VLOOKUP($A$1,'换码设置'!$A:$C,3,FALSE),0))</f>
        <v/>
      </c>
      <c r="BN3" s="0">
        <f>MAX(0,ROWS(UNIQUE(FILTER($F7:$F11,(BN7:BN11&gt;0)*($F7:$F11&lt;&gt;""))))-1)*IF(BN2="双",VLOOKUP($A$1,'换码设置'!$A:$C,2,FALSE),IF(BN2="单",VLOOKUP($A$1,'换码设置'!$A:$C,3,FALSE),0))</f>
        <v/>
      </c>
      <c r="BO3" s="0">
        <f>MAX(0,ROWS(UNIQUE(FILTER($F7:$F11,(BO7:BO11&gt;0)*($F7:$F11&lt;&gt;""))))-1)*IF(BO2="双",VLOOKUP($A$1,'换码设置'!$A:$C,2,FALSE),IF(BO2="单",VLOOKUP($A$1,'换码设置'!$A:$C,3,FALSE),0))</f>
        <v/>
      </c>
      <c r="BP3" s="0">
        <f>MAX(0,ROWS(UNIQUE(FILTER($F7:$F11,(BP7:BP11&gt;0)*($F7:$F11&lt;&gt;""))))-1)*IF(BP2="双",VLOOKUP($A$1,'换码设置'!$A:$C,2,FALSE),IF(BP2="单",VLOOKUP($A$1,'换码设置'!$A:$C,3,FALSE),0))</f>
        <v/>
      </c>
      <c r="BQ3" s="0">
        <f>MAX(0,ROWS(UNIQUE(FILTER($F7:$F11,(BQ7:BQ11&gt;0)*($F7:$F11&lt;&gt;""))))-1)*IF(BQ2="双",VLOOKUP($A$1,'换码设置'!$A:$C,2,FALSE),IF(BQ2="单",VLOOKUP($A$1,'换码设置'!$A:$C,3,FALSE),0))</f>
        <v/>
      </c>
    </row>
    <row r="4" ht="17" customFormat="1" customHeight="1" s="101">
      <c r="K4" s="103" t="n"/>
      <c r="L4" s="5" t="inlineStr">
        <is>
          <t>5月排产计划</t>
        </is>
      </c>
      <c r="M4" s="108">
        <f>SUM(M5:AL5)</f>
        <v/>
      </c>
      <c r="N4" s="109" t="n">
        <v>46148</v>
      </c>
      <c r="O4" s="109" t="n">
        <v>46149</v>
      </c>
      <c r="P4" s="109" t="n">
        <v>46150</v>
      </c>
      <c r="Q4" s="109" t="n">
        <v>46151</v>
      </c>
      <c r="R4" s="109" t="n">
        <v>46152</v>
      </c>
      <c r="S4" s="109" t="n">
        <v>46153</v>
      </c>
      <c r="T4" s="109" t="n">
        <v>46154</v>
      </c>
      <c r="U4" s="109" t="n">
        <v>46155</v>
      </c>
      <c r="V4" s="109" t="n">
        <v>46156</v>
      </c>
      <c r="W4" s="109" t="n">
        <v>46157</v>
      </c>
      <c r="X4" s="109" t="n">
        <v>46158</v>
      </c>
      <c r="Y4" s="109" t="n">
        <v>46159</v>
      </c>
      <c r="Z4" s="109" t="n">
        <v>46160</v>
      </c>
      <c r="AA4" s="109" t="n">
        <v>46161</v>
      </c>
      <c r="AB4" s="109" t="n">
        <v>46162</v>
      </c>
      <c r="AC4" s="109" t="n">
        <v>46163</v>
      </c>
      <c r="AD4" s="109" t="n">
        <v>46164</v>
      </c>
      <c r="AE4" s="109" t="n">
        <v>46165</v>
      </c>
      <c r="AF4" s="109" t="n">
        <v>46166</v>
      </c>
      <c r="AG4" s="109" t="n">
        <v>46167</v>
      </c>
      <c r="AH4" s="109" t="n">
        <v>46168</v>
      </c>
      <c r="AI4" s="109" t="n">
        <v>46169</v>
      </c>
      <c r="AJ4" s="109" t="n">
        <v>46170</v>
      </c>
      <c r="AK4" s="109" t="n">
        <v>46171</v>
      </c>
      <c r="AL4" s="109" t="n">
        <v>46172</v>
      </c>
      <c r="AM4" s="109" t="n">
        <v>46173</v>
      </c>
      <c r="AN4" s="109" t="n">
        <v>46174</v>
      </c>
      <c r="AO4" s="109" t="n">
        <v>46175</v>
      </c>
      <c r="AP4" s="109" t="n">
        <v>46176</v>
      </c>
      <c r="AQ4" s="109" t="n">
        <v>46177</v>
      </c>
      <c r="AR4" s="109" t="n">
        <v>46178</v>
      </c>
      <c r="AS4" s="109" t="n">
        <v>46179</v>
      </c>
      <c r="AT4" s="109" t="n">
        <v>46180</v>
      </c>
      <c r="AU4" s="109" t="n">
        <v>46181</v>
      </c>
      <c r="AV4" s="109" t="n">
        <v>46182</v>
      </c>
      <c r="AW4" s="109" t="n">
        <v>46183</v>
      </c>
      <c r="AX4" s="109" t="n">
        <v>46184</v>
      </c>
      <c r="AY4" s="109" t="n">
        <v>46185</v>
      </c>
      <c r="AZ4" s="109" t="n">
        <v>46186</v>
      </c>
      <c r="BA4" s="109" t="n">
        <v>46187</v>
      </c>
      <c r="BB4" s="109" t="n">
        <v>46188</v>
      </c>
      <c r="BC4" s="109" t="n">
        <v>46189</v>
      </c>
      <c r="BD4" s="109" t="n">
        <v>46190</v>
      </c>
      <c r="BE4" s="109" t="n">
        <v>46191</v>
      </c>
      <c r="BF4" s="109" t="n">
        <v>46192</v>
      </c>
      <c r="BG4" s="109" t="n">
        <v>46193</v>
      </c>
      <c r="BH4" s="109" t="n">
        <v>46194</v>
      </c>
      <c r="BI4" s="109" t="n">
        <v>46195</v>
      </c>
      <c r="BJ4" s="109" t="n">
        <v>46196</v>
      </c>
      <c r="BK4" s="109" t="n">
        <v>46197</v>
      </c>
      <c r="BL4" s="109" t="n">
        <v>46198</v>
      </c>
      <c r="BM4" s="109" t="n">
        <v>46199</v>
      </c>
      <c r="BN4" s="109" t="n">
        <v>46200</v>
      </c>
      <c r="BO4" s="109" t="n">
        <v>46201</v>
      </c>
      <c r="BP4" s="109" t="n">
        <v>46202</v>
      </c>
      <c r="BQ4" s="109" t="n">
        <v>46203</v>
      </c>
      <c r="BR4" s="109" t="n">
        <v>46204</v>
      </c>
    </row>
    <row r="5" ht="15.5" customFormat="1" customHeight="1" s="101">
      <c r="G5" s="101" t="n"/>
      <c r="J5" s="95" t="n"/>
      <c r="K5" s="96" t="n"/>
      <c r="L5" s="5" t="inlineStr">
        <is>
          <t>目前总共订单</t>
        </is>
      </c>
      <c r="M5" s="110">
        <f>SUM(L1:L3)</f>
        <v/>
      </c>
      <c r="N5" s="10">
        <f>IF(N2="单",$K$1,IF(N2="双",$K$2,0))-N3-N6</f>
        <v/>
      </c>
      <c r="O5" s="10">
        <f>IF(O2="单",$K$1,IF(O2="双",$K$2,0))-O3-O6</f>
        <v/>
      </c>
      <c r="P5" s="10">
        <f>IF(P2="单",$K$1,IF(P2="双",$K$2,0))-P3-P6</f>
        <v/>
      </c>
      <c r="Q5" s="10">
        <f>IF(Q2="单",$K$1,IF(Q2="双",$K$2,0))-Q3-Q6</f>
        <v/>
      </c>
      <c r="R5" s="10">
        <f>IF(R2="单",$K$1,IF(R2="双",$K$2,0))-R3-R6</f>
        <v/>
      </c>
      <c r="S5" s="10">
        <f>IF(S2="单",$K$1,IF(S2="双",$K$2,0))-S3-S6</f>
        <v/>
      </c>
      <c r="T5" s="10">
        <f>IF(T2="单",$K$1,IF(T2="双",$K$2,0))-T3-T6</f>
        <v/>
      </c>
      <c r="U5" s="10">
        <f>IF(U2="单",$K$1,IF(U2="双",$K$2,0))-U3-U6</f>
        <v/>
      </c>
      <c r="V5" s="10">
        <f>IF(V2="单",$K$1,IF(V2="双",$K$2,0))-V3-V6</f>
        <v/>
      </c>
      <c r="W5" s="10">
        <f>IF(W2="单",$K$1,IF(W2="双",$K$2,0))-W3-W6</f>
        <v/>
      </c>
      <c r="X5" s="10">
        <f>IF(X2="单",$K$1,IF(X2="双",$K$2,0))-X3-X6</f>
        <v/>
      </c>
      <c r="Y5" s="10">
        <f>IF(Y2="单",$K$1,IF(Y2="双",$K$2,0))-Y3-Y6</f>
        <v/>
      </c>
      <c r="Z5" s="10">
        <f>IF(Z2="单",$K$1,IF(Z2="双",$K$2,0))-Z3-Z6</f>
        <v/>
      </c>
      <c r="AA5" s="10">
        <f>IF(AA2="单",$K$1,IF(AA2="双",$K$2,0))-AA3-AA6</f>
        <v/>
      </c>
      <c r="AB5" s="10">
        <f>IF(AB2="单",$K$1,IF(AB2="双",$K$2,0))-AB3-AB6</f>
        <v/>
      </c>
      <c r="AC5" s="10">
        <f>IF(AC2="单",$K$1,IF(AC2="双",$K$2,0))-AC3-AC6</f>
        <v/>
      </c>
      <c r="AD5" s="10">
        <f>IF(AD2="单",$K$1,IF(AD2="双",$K$2,0))-AD3-AD6</f>
        <v/>
      </c>
      <c r="AE5" s="10">
        <f>IF(AE2="单",$K$1,IF(AE2="双",$K$2,0))-AE3-AE6</f>
        <v/>
      </c>
      <c r="AF5" s="10">
        <f>IF(AF2="单",$K$1,IF(AF2="双",$K$2,0))-AF3-AF6</f>
        <v/>
      </c>
      <c r="AG5" s="10">
        <f>IF(AG2="单",$K$1,IF(AG2="双",$K$2,0))-AG3-AG6</f>
        <v/>
      </c>
      <c r="AH5" s="10">
        <f>IF(AH2="单",$K$1,IF(AH2="双",$K$2,0))-AH3-AH6</f>
        <v/>
      </c>
      <c r="AI5" s="10">
        <f>IF(AI2="单",$K$1,IF(AI2="双",$K$2,0))-AI3-AI6</f>
        <v/>
      </c>
      <c r="AJ5" s="10">
        <f>IF(AJ2="单",$K$1,IF(AJ2="双",$K$2,0))-AJ3-AJ6</f>
        <v/>
      </c>
      <c r="AK5" s="10">
        <f>IF(AK2="单",$K$1,IF(AK2="双",$K$2,0))-AK3-AK6</f>
        <v/>
      </c>
      <c r="AL5" s="10">
        <f>IF(AL2="单",$K$1,IF(AL2="双",$K$2,0))-AL3-AL6</f>
        <v/>
      </c>
      <c r="AM5" s="10">
        <f>IF(AM2="单",$K$1,IF(AM2="双",$K$2,0))-AM3-AM6</f>
        <v/>
      </c>
      <c r="AN5" s="10">
        <f>IF(AN2="单",$K$1,IF(AN2="双",$K$2,0))-AN3-AN6</f>
        <v/>
      </c>
      <c r="AO5" s="10">
        <f>IF(AO2="单",$K$1,IF(AO2="双",$K$2,0))-AO3-AO6</f>
        <v/>
      </c>
      <c r="AP5" s="10">
        <f>IF(AP2="单",$K$1,IF(AP2="双",$K$2,0))-AP3-AP6</f>
        <v/>
      </c>
      <c r="AQ5" s="10">
        <f>IF(AQ2="单",$K$1,IF(AQ2="双",$K$2,0))-AQ3-AQ6</f>
        <v/>
      </c>
      <c r="AR5" s="10">
        <f>IF(AR2="单",$K$1,IF(AR2="双",$K$2,0))-AR3-AR6</f>
        <v/>
      </c>
      <c r="AS5" s="10">
        <f>IF(AS2="单",$K$1,IF(AS2="双",$K$2,0))-AS3-AS6</f>
        <v/>
      </c>
      <c r="AT5" s="10">
        <f>IF(AT2="单",$K$1,IF(AT2="双",$K$2,0))-AT3-AT6</f>
        <v/>
      </c>
      <c r="AU5" s="10">
        <f>IF(AU2="单",$K$1,IF(AU2="双",$K$2,0))-AU3-AU6</f>
        <v/>
      </c>
      <c r="AV5" s="10">
        <f>IF(AV2="单",$K$1,IF(AV2="双",$K$2,0))-AV3-AV6</f>
        <v/>
      </c>
      <c r="AW5" s="10">
        <f>IF(AW2="单",$K$1,IF(AW2="双",$K$2,0))-AW3-AW6</f>
        <v/>
      </c>
      <c r="AX5" s="10">
        <f>IF(AX2="单",$K$1,IF(AX2="双",$K$2,0))-AX3-AX6</f>
        <v/>
      </c>
      <c r="AY5" s="10">
        <f>IF(AY2="单",$K$1,IF(AY2="双",$K$2,0))-AY3-AY6</f>
        <v/>
      </c>
      <c r="AZ5" s="10">
        <f>IF(AZ2="单",$K$1,IF(AZ2="双",$K$2,0))-AZ3-AZ6</f>
        <v/>
      </c>
      <c r="BA5" s="10">
        <f>IF(BA2="单",$K$1,IF(BA2="双",$K$2,0))-BA3-BA6</f>
        <v/>
      </c>
      <c r="BB5" s="10">
        <f>IF(BB2="单",$K$1,IF(BB2="双",$K$2,0))-BB3-BB6</f>
        <v/>
      </c>
      <c r="BC5" s="10">
        <f>IF(BC2="单",$K$1,IF(BC2="双",$K$2,0))-BC3-BC6</f>
        <v/>
      </c>
      <c r="BD5" s="10">
        <f>IF(BD2="单",$K$1,IF(BD2="双",$K$2,0))-BD3-BD6</f>
        <v/>
      </c>
      <c r="BE5" s="10">
        <f>IF(BE2="单",$K$1,IF(BE2="双",$K$2,0))-BE3-BE6</f>
        <v/>
      </c>
      <c r="BF5" s="10">
        <f>IF(BF2="单",$K$1,IF(BF2="双",$K$2,0))-BF3-BF6</f>
        <v/>
      </c>
      <c r="BG5" s="10">
        <f>IF(BG2="单",$K$1,IF(BG2="双",$K$2,0))-BG3-BG6</f>
        <v/>
      </c>
      <c r="BH5" s="10">
        <f>IF(BH2="单",$K$1,IF(BH2="双",$K$2,0))-BH3-BH6</f>
        <v/>
      </c>
      <c r="BI5" s="10">
        <f>IF(BI2="单",$K$1,IF(BI2="双",$K$2,0))-BI3-BI6</f>
        <v/>
      </c>
      <c r="BJ5" s="10">
        <f>IF(BJ2="单",$K$1,IF(BJ2="双",$K$2,0))-BJ3-BJ6</f>
        <v/>
      </c>
      <c r="BK5" s="10">
        <f>IF(BK2="单",$K$1,IF(BK2="双",$K$2,0))-BK3-BK6</f>
        <v/>
      </c>
      <c r="BL5" s="10">
        <f>IF(BL2="单",$K$1,IF(BL2="双",$K$2,0))-BL3-BL6</f>
        <v/>
      </c>
      <c r="BM5" s="10">
        <f>IF(BM2="单",$K$1,IF(BM2="双",$K$2,0))-BM3-BM6</f>
        <v/>
      </c>
      <c r="BN5" s="10">
        <f>IF(BN2="单",$K$1,IF(BN2="双",$K$2,0))-BN3-BN6</f>
        <v/>
      </c>
      <c r="BO5" s="10">
        <f>IF(BO2="单",$K$1,IF(BO2="双",$K$2,0))-BO3-BO6</f>
        <v/>
      </c>
      <c r="BP5" s="10">
        <f>IF(BP2="单",$K$1,IF(BP2="双",$K$2,0))-BP3-BP6</f>
        <v/>
      </c>
      <c r="BQ5" s="10">
        <f>IF(BQ2="单",$K$1,IF(BQ2="双",$K$2,0))-BQ3-BQ6</f>
        <v/>
      </c>
      <c r="BR5" s="10">
        <f>IF(BQ2="单",$J$1,IF(BQ2="双",$J$2,0))-BQ5</f>
        <v/>
      </c>
    </row>
    <row r="6" ht="15.5" customHeight="1" s="91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t="inlineStr">
        <is>
          <t>尺码</t>
        </is>
      </c>
      <c r="G6" s="97" t="inlineStr">
        <is>
          <t>规格(p*b*z)</t>
        </is>
      </c>
      <c r="H6" s="98" t="n"/>
      <c r="I6" s="111" t="inlineStr">
        <is>
          <t>下单时间</t>
        </is>
      </c>
      <c r="J6" s="112" t="inlineStr">
        <is>
          <t>最晚交货时间</t>
        </is>
      </c>
      <c r="K6" s="15" t="inlineStr">
        <is>
          <t>下单箱数</t>
        </is>
      </c>
      <c r="L6" s="16" t="inlineStr">
        <is>
          <t>下单片数</t>
        </is>
      </c>
      <c r="M6" s="17" t="inlineStr">
        <is>
          <t>剩余排产</t>
        </is>
      </c>
      <c r="N6" s="17">
        <f>SUMPRODUCT($G7:$G9964,$H7:$H9964,N$7:N$9964)</f>
        <v/>
      </c>
      <c r="O6" s="17">
        <f>SUMPRODUCT($G7:$G9964,$H7:$H9964,O$7:O$9964)</f>
        <v/>
      </c>
      <c r="P6" s="17">
        <f>SUMPRODUCT($G7:$G9964,$H7:$H9964,P$7:P$9964)</f>
        <v/>
      </c>
      <c r="Q6" s="17">
        <f>SUMPRODUCT($G7:$G9964,$H7:$H9964,Q$7:Q$9964)</f>
        <v/>
      </c>
      <c r="R6" s="17">
        <f>SUMPRODUCT($G7:$G9964,$H7:$H9964,R$7:R$9964)</f>
        <v/>
      </c>
      <c r="S6" s="17">
        <f>SUMPRODUCT($G7:$G9964,$H7:$H9964,S$7:S$9964)</f>
        <v/>
      </c>
      <c r="T6" s="17">
        <f>SUMPRODUCT($G7:$G9964,$H7:$H9964,T$7:T$9964)</f>
        <v/>
      </c>
      <c r="U6" s="17">
        <f>SUMPRODUCT($G7:$G9964,$H7:$H9964,U$7:U$9964)</f>
        <v/>
      </c>
      <c r="V6" s="17">
        <f>SUMPRODUCT($G7:$G9964,$H7:$H9964,V$7:V$9964)</f>
        <v/>
      </c>
      <c r="W6" s="17">
        <f>SUMPRODUCT($G7:$G9964,$H7:$H9964,W$7:W$9964)</f>
        <v/>
      </c>
      <c r="X6" s="17">
        <f>SUMPRODUCT($G7:$G9964,$H7:$H9964,X$7:X$9964)</f>
        <v/>
      </c>
      <c r="Y6" s="17">
        <f>SUMPRODUCT($G7:$G9964,$H7:$H9964,Y$7:Y$9964)</f>
        <v/>
      </c>
      <c r="Z6" s="17">
        <f>SUMPRODUCT($G7:$G9964,$H7:$H9964,Z$7:Z$9964)</f>
        <v/>
      </c>
      <c r="AA6" s="17">
        <f>SUMPRODUCT($G7:$G9964,$H7:$H9964,AA$7:AA$9964)</f>
        <v/>
      </c>
      <c r="AB6" s="17">
        <f>SUMPRODUCT($G7:$G9964,$H7:$H9964,AB$7:AB$9964)</f>
        <v/>
      </c>
      <c r="AC6" s="17">
        <f>SUMPRODUCT($G7:$G9964,$H7:$H9964,AC$7:AC$9964)</f>
        <v/>
      </c>
      <c r="AD6" s="17">
        <f>SUMPRODUCT($G7:$G9964,$H7:$H9964,AD$7:AD$9964)</f>
        <v/>
      </c>
      <c r="AE6" s="17">
        <f>SUMPRODUCT($G7:$G9964,$H7:$H9964,AE$7:AE$9964)</f>
        <v/>
      </c>
      <c r="AF6" s="17">
        <f>SUMPRODUCT($G7:$G9964,$H7:$H9964,AF$7:AF$9964)</f>
        <v/>
      </c>
      <c r="AG6" s="17">
        <f>SUMPRODUCT($G7:$G9964,$H7:$H9964,AG$7:AG$9964)</f>
        <v/>
      </c>
      <c r="AH6" s="17">
        <f>SUMPRODUCT($G7:$G9964,$H7:$H9964,AH$7:AH$9964)</f>
        <v/>
      </c>
      <c r="AI6" s="17">
        <f>SUMPRODUCT($G7:$G9964,$H7:$H9964,AI$7:AI$9964)</f>
        <v/>
      </c>
      <c r="AJ6" s="17">
        <f>SUMPRODUCT($G7:$G9964,$H7:$H9964,AJ$7:AJ$9964)</f>
        <v/>
      </c>
      <c r="AK6" s="17">
        <f>SUMPRODUCT($G7:$G9964,$H7:$H9964,AK$7:AK$9964)</f>
        <v/>
      </c>
      <c r="AL6" s="17">
        <f>SUMPRODUCT($G7:$G9964,$H7:$H9964,AL$7:AL$9964)</f>
        <v/>
      </c>
      <c r="AM6" s="17">
        <f>SUMPRODUCT($G7:$G9964,$H7:$H9964,AM$7:AM$9964)</f>
        <v/>
      </c>
      <c r="AN6" s="17">
        <f>SUMPRODUCT($G7:$G9964,$H7:$H9964,AN$7:AN$9964)</f>
        <v/>
      </c>
      <c r="AO6" s="17">
        <f>SUMPRODUCT($G7:$G9964,$H7:$H9964,AO$7:AO$9964)</f>
        <v/>
      </c>
      <c r="AP6" s="17">
        <f>SUMPRODUCT($G7:$G9964,$H7:$H9964,AP$7:AP$9964)</f>
        <v/>
      </c>
      <c r="AQ6" s="17">
        <f>SUMPRODUCT($G7:$G9964,$H7:$H9964,AQ$7:AQ$9964)</f>
        <v/>
      </c>
      <c r="AR6" s="17">
        <f>SUMPRODUCT($G7:$G9964,$H7:$H9964,AR$7:AR$9964)</f>
        <v/>
      </c>
      <c r="AS6" s="17">
        <f>SUMPRODUCT($G7:$G9964,$H7:$H9964,AS$7:AS$9964)</f>
        <v/>
      </c>
      <c r="AT6" s="17">
        <f>SUMPRODUCT($G7:$G9964,$H7:$H9964,AT$7:AT$9964)</f>
        <v/>
      </c>
      <c r="AU6" s="17">
        <f>SUMPRODUCT($G7:$G9964,$H7:$H9964,AU$7:AU$9964)</f>
        <v/>
      </c>
      <c r="AV6" s="17">
        <f>SUMPRODUCT($G7:$G9964,$H7:$H9964,AV$7:AV$9964)</f>
        <v/>
      </c>
      <c r="AW6" s="17">
        <f>SUMPRODUCT($G7:$G9964,$H7:$H9964,AW$7:AW$9964)</f>
        <v/>
      </c>
      <c r="AX6" s="17">
        <f>SUMPRODUCT($G7:$G9964,$H7:$H9964,AX$7:AX$9964)</f>
        <v/>
      </c>
      <c r="AY6" s="17">
        <f>SUMPRODUCT($G7:$G9964,$H7:$H9964,AY$7:AY$9964)</f>
        <v/>
      </c>
      <c r="AZ6" s="17">
        <f>SUMPRODUCT($G7:$G9964,$H7:$H9964,AZ$7:AZ$9964)</f>
        <v/>
      </c>
      <c r="BA6" s="17">
        <f>SUMPRODUCT($G7:$G9964,$H7:$H9964,BA$7:BA$9964)</f>
        <v/>
      </c>
      <c r="BB6" s="17">
        <f>SUMPRODUCT($G7:$G9964,$H7:$H9964,BB$7:BB$9964)</f>
        <v/>
      </c>
      <c r="BC6" s="17">
        <f>SUMPRODUCT($G7:$G9964,$H7:$H9964,BC$7:BC$9964)</f>
        <v/>
      </c>
      <c r="BD6" s="17">
        <f>SUMPRODUCT($G7:$G9964,$H7:$H9964,BD$7:BD$9964)</f>
        <v/>
      </c>
      <c r="BE6" s="17">
        <f>SUMPRODUCT($G7:$G9964,$H7:$H9964,BE$7:BE$9964)</f>
        <v/>
      </c>
      <c r="BF6" s="17">
        <f>SUMPRODUCT($G7:$G9964,$H7:$H9964,BF$7:BF$9964)</f>
        <v/>
      </c>
      <c r="BG6" s="17">
        <f>SUMPRODUCT($G7:$G9964,$H7:$H9964,BG$7:BG$9964)</f>
        <v/>
      </c>
      <c r="BH6" s="17">
        <f>SUMPRODUCT($G7:$G9964,$H7:$H9964,BH$7:BH$9964)</f>
        <v/>
      </c>
      <c r="BI6" s="17">
        <f>SUMPRODUCT($G7:$G9964,$H7:$H9964,BI$7:BI$9964)</f>
        <v/>
      </c>
      <c r="BJ6" s="17">
        <f>SUMPRODUCT($G7:$G9964,$H7:$H9964,BJ$7:BJ$9964)</f>
        <v/>
      </c>
      <c r="BK6" s="17">
        <f>SUMPRODUCT($G7:$G9964,$H7:$H9964,BK$7:BK$9964)</f>
        <v/>
      </c>
      <c r="BL6" s="17">
        <f>SUMPRODUCT($G7:$G9964,$H7:$H9964,BL$7:BL$9964)</f>
        <v/>
      </c>
      <c r="BM6" s="17">
        <f>SUMPRODUCT($G7:$G9964,$H7:$H9964,BM$7:BM$9964)</f>
        <v/>
      </c>
      <c r="BN6" s="17">
        <f>SUMPRODUCT($G7:$G9964,$H7:$H9964,BN$7:BN$9964)</f>
        <v/>
      </c>
      <c r="BO6" s="17">
        <f>SUMPRODUCT($G7:$G9964,$H7:$H9964,BO$7:BO$9964)</f>
        <v/>
      </c>
      <c r="BP6" s="17">
        <f>SUMPRODUCT($G7:$G9964,$H7:$H9964,BP$7:BP$9964)</f>
        <v/>
      </c>
      <c r="BQ6" s="17">
        <f>SUMPRODUCT($G7:$G9964,$H7:$H9964,BQ$7:BQ$9964)</f>
        <v/>
      </c>
      <c r="BR6" s="17" t="n"/>
    </row>
    <row r="7" ht="15.5" customHeight="1" s="91">
      <c r="A7" s="26" t="inlineStr">
        <is>
          <t>1.6.15.349</t>
        </is>
      </c>
      <c r="B7" s="26" t="n"/>
      <c r="C7" s="26" t="n"/>
      <c r="D7" s="19" t="inlineStr">
        <is>
          <t>WO-ZZ00020559</t>
        </is>
      </c>
      <c r="E7" s="27" t="inlineStr">
        <is>
          <t>EQ Pants  XL（10x20）2023版</t>
        </is>
      </c>
      <c r="F7" t="inlineStr">
        <is>
          <t>XL</t>
        </is>
      </c>
      <c r="G7" s="26" t="n">
        <v>10</v>
      </c>
      <c r="H7" s="26" t="n">
        <v>20</v>
      </c>
      <c r="I7" s="117" t="n"/>
      <c r="J7" s="117" t="n"/>
      <c r="K7" s="19" t="n">
        <v>4431</v>
      </c>
      <c r="L7" s="19">
        <f>J6*F6*G6</f>
        <v/>
      </c>
      <c r="M7" s="19" t="n">
        <v>0</v>
      </c>
      <c r="N7" s="24" t="n">
        <v>1620</v>
      </c>
      <c r="O7" s="24" t="n">
        <v>1620</v>
      </c>
      <c r="P7" s="24" t="n">
        <v>1191</v>
      </c>
      <c r="Q7" s="24" t="n"/>
      <c r="R7" s="24" t="n"/>
      <c r="S7" s="24" t="n"/>
      <c r="T7" s="24" t="n"/>
      <c r="U7" s="24" t="n"/>
      <c r="V7" s="24" t="n"/>
      <c r="W7" s="24" t="n"/>
      <c r="X7" s="24" t="n"/>
      <c r="Y7" s="24" t="n"/>
      <c r="Z7" s="24" t="n"/>
      <c r="AA7" s="24" t="n"/>
      <c r="AB7" s="24" t="n"/>
      <c r="AC7" s="24" t="n"/>
      <c r="AD7" s="24" t="n"/>
      <c r="AE7" s="24" t="n"/>
      <c r="AF7" s="24" t="n"/>
      <c r="AG7" s="24" t="n"/>
      <c r="AH7" s="24" t="n"/>
      <c r="AI7" s="24" t="n"/>
      <c r="AJ7" s="24" t="n"/>
      <c r="AK7" s="24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  <c r="BP7" s="28" t="n"/>
      <c r="BQ7" s="28" t="n"/>
      <c r="BR7" s="28" t="n"/>
    </row>
    <row r="8" ht="15.5" customHeight="1" s="91">
      <c r="A8" s="26" t="inlineStr">
        <is>
          <t>1.6.14.349</t>
        </is>
      </c>
      <c r="B8" s="26" t="n"/>
      <c r="C8" s="26" t="n"/>
      <c r="D8" s="19" t="inlineStr">
        <is>
          <t>WO-ZZ00020770</t>
        </is>
      </c>
      <c r="E8" s="27" t="inlineStr">
        <is>
          <t>EQ Pants Jumbo Pack L (40+6) x6 2024-4-2</t>
        </is>
      </c>
      <c r="F8" t="inlineStr">
        <is>
          <t>L</t>
        </is>
      </c>
      <c r="G8" s="26" t="n">
        <v>46</v>
      </c>
      <c r="H8" s="26" t="n">
        <v>6</v>
      </c>
      <c r="I8" s="117" t="n"/>
      <c r="J8" s="117" t="n">
        <v>46112</v>
      </c>
      <c r="K8" s="19" t="n">
        <v>950</v>
      </c>
      <c r="L8" s="19">
        <f>J7*F7*G7</f>
        <v/>
      </c>
      <c r="M8" s="19" t="n">
        <v>0</v>
      </c>
      <c r="N8" s="24" t="n"/>
      <c r="O8" s="24" t="n"/>
      <c r="P8" s="24" t="n">
        <v>311</v>
      </c>
      <c r="Q8" s="24" t="n">
        <v>639</v>
      </c>
      <c r="R8" s="24" t="n"/>
      <c r="S8" s="24" t="n"/>
      <c r="T8" s="24" t="n"/>
      <c r="U8" s="24" t="n"/>
      <c r="V8" s="24" t="n"/>
      <c r="W8" s="24" t="n"/>
      <c r="X8" s="24" t="n"/>
      <c r="Y8" s="24" t="n"/>
      <c r="Z8" s="24" t="n"/>
      <c r="AA8" s="24" t="n"/>
      <c r="AB8" s="24" t="n"/>
      <c r="AC8" s="24" t="n"/>
      <c r="AD8" s="24" t="n"/>
      <c r="AE8" s="24" t="n"/>
      <c r="AF8" s="24" t="n"/>
      <c r="AG8" s="24" t="n"/>
      <c r="AH8" s="24" t="n"/>
      <c r="AI8" s="24" t="n"/>
      <c r="AJ8" s="24" t="n"/>
      <c r="AK8" s="24" t="n"/>
      <c r="AL8" s="24" t="n"/>
      <c r="AM8" s="24" t="n"/>
      <c r="AN8" s="24" t="n"/>
      <c r="AO8" s="24" t="n"/>
      <c r="AP8" s="24" t="n"/>
      <c r="AQ8" s="24" t="n"/>
      <c r="AR8" s="24" t="n"/>
      <c r="AS8" s="24" t="n"/>
      <c r="AT8" s="24" t="n"/>
      <c r="AU8" s="24" t="n"/>
      <c r="AV8" s="24" t="n"/>
      <c r="AW8" s="24" t="n"/>
      <c r="AX8" s="24" t="n"/>
      <c r="AY8" s="24" t="n"/>
      <c r="AZ8" s="24" t="n"/>
      <c r="BA8" s="24" t="n"/>
      <c r="BB8" s="24" t="n"/>
      <c r="BC8" s="24" t="n"/>
      <c r="BD8" s="24" t="n"/>
      <c r="BE8" s="24" t="n"/>
      <c r="BF8" s="24" t="n"/>
      <c r="BG8" s="24" t="n"/>
      <c r="BH8" s="24" t="n"/>
      <c r="BI8" s="24" t="n"/>
      <c r="BJ8" s="24" t="n"/>
      <c r="BK8" s="24" t="n"/>
      <c r="BL8" s="24" t="n"/>
      <c r="BM8" s="24" t="n"/>
      <c r="BN8" s="24" t="n"/>
      <c r="BO8" s="24" t="n"/>
      <c r="BP8" s="24" t="n"/>
      <c r="BQ8" s="24" t="n"/>
      <c r="BR8" s="24" t="n"/>
    </row>
    <row r="9" ht="15.5" customHeight="1" s="91">
      <c r="A9" s="26" t="inlineStr">
        <is>
          <t>1.6.15.349</t>
        </is>
      </c>
      <c r="B9" s="26" t="n"/>
      <c r="C9" s="26" t="n"/>
      <c r="D9" s="19" t="n"/>
      <c r="E9" s="27" t="inlineStr">
        <is>
          <t>EQ Pants  XL（10x20）2023版</t>
        </is>
      </c>
      <c r="F9" t="inlineStr">
        <is>
          <t>XL</t>
        </is>
      </c>
      <c r="G9" s="26" t="n">
        <v>10</v>
      </c>
      <c r="H9" s="26" t="n">
        <v>20</v>
      </c>
      <c r="I9" s="117" t="n"/>
      <c r="J9" s="117" t="n"/>
      <c r="K9" s="19" t="n">
        <v>5000</v>
      </c>
      <c r="L9" s="19">
        <f>J8*F8*G8</f>
        <v/>
      </c>
      <c r="M9" s="19" t="n">
        <v>0</v>
      </c>
      <c r="N9" s="24" t="n"/>
      <c r="O9" s="24" t="n"/>
      <c r="P9" s="24" t="n"/>
      <c r="Q9" s="24" t="n">
        <v>738</v>
      </c>
      <c r="R9" s="24" t="n"/>
      <c r="S9" s="24" t="n">
        <v>1620</v>
      </c>
      <c r="T9" s="24" t="n">
        <v>1620</v>
      </c>
      <c r="U9" s="24" t="n">
        <v>1022</v>
      </c>
      <c r="V9" s="24" t="n"/>
      <c r="W9" s="24" t="n"/>
      <c r="X9" s="24" t="n"/>
      <c r="Y9" s="24" t="n"/>
      <c r="Z9" s="24" t="n"/>
      <c r="AA9" s="24" t="n"/>
      <c r="AB9" s="24" t="n"/>
      <c r="AC9" s="24" t="n"/>
      <c r="AD9" s="24" t="n"/>
      <c r="AE9" s="24" t="n"/>
      <c r="AF9" s="24" t="n"/>
      <c r="AG9" s="24" t="n"/>
      <c r="AH9" s="24" t="n"/>
      <c r="AI9" s="24" t="n"/>
      <c r="AJ9" s="24" t="n"/>
      <c r="AK9" s="24" t="n"/>
      <c r="AL9" s="28" t="n"/>
      <c r="AM9" s="28" t="n"/>
      <c r="AN9" s="28" t="n"/>
      <c r="AO9" s="28" t="n"/>
      <c r="AP9" s="28" t="n"/>
      <c r="AQ9" s="28" t="n"/>
      <c r="AR9" s="28" t="n"/>
      <c r="AS9" s="28" t="n"/>
      <c r="AT9" s="28" t="n"/>
      <c r="AU9" s="28" t="n"/>
      <c r="AV9" s="28" t="n"/>
      <c r="AW9" s="28" t="n"/>
      <c r="AX9" s="28" t="n"/>
      <c r="AY9" s="28" t="n"/>
      <c r="AZ9" s="28" t="n"/>
      <c r="BA9" s="28" t="n"/>
      <c r="BB9" s="28" t="n"/>
      <c r="BC9" s="28" t="n"/>
      <c r="BD9" s="28" t="n"/>
      <c r="BE9" s="28" t="n"/>
      <c r="BF9" s="28" t="n"/>
      <c r="BG9" s="28" t="n"/>
      <c r="BH9" s="28" t="n"/>
      <c r="BI9" s="28" t="n"/>
      <c r="BJ9" s="28" t="n"/>
      <c r="BK9" s="28" t="n"/>
      <c r="BL9" s="28" t="n"/>
      <c r="BM9" s="28" t="n"/>
      <c r="BN9" s="28" t="n"/>
      <c r="BO9" s="28" t="n"/>
      <c r="BP9" s="28" t="n"/>
      <c r="BQ9" s="28" t="n"/>
      <c r="BR9" s="28" t="n"/>
    </row>
    <row r="10" ht="15.5" customHeight="1" s="91">
      <c r="A10" s="26" t="inlineStr">
        <is>
          <t>1.6.16.354</t>
        </is>
      </c>
      <c r="B10" s="26" t="n"/>
      <c r="C10" s="26" t="n"/>
      <c r="D10" s="19" t="inlineStr">
        <is>
          <t>WO-ZZ00020701</t>
        </is>
      </c>
      <c r="E10" s="27" t="inlineStr">
        <is>
          <t>EQ Pants Jumbo Pack XXL (40+6) x6 2024-4-2</t>
        </is>
      </c>
      <c r="F10" t="inlineStr">
        <is>
          <t>XXL</t>
        </is>
      </c>
      <c r="G10" s="26" t="n">
        <v>46</v>
      </c>
      <c r="H10" s="26" t="n">
        <v>6</v>
      </c>
      <c r="I10" s="117" t="n"/>
      <c r="J10" s="117" t="n"/>
      <c r="K10" s="19" t="n">
        <v>1300</v>
      </c>
      <c r="L10" s="19">
        <f>J9*F9*G9</f>
        <v/>
      </c>
      <c r="M10" s="19" t="n">
        <v>0</v>
      </c>
      <c r="N10" s="28" t="n"/>
      <c r="O10" s="28" t="n"/>
      <c r="P10" s="28" t="n"/>
      <c r="Q10" s="28" t="n"/>
      <c r="R10" s="28" t="n"/>
      <c r="S10" s="28" t="n"/>
      <c r="T10" s="28" t="n"/>
      <c r="U10" s="28" t="n">
        <v>433</v>
      </c>
      <c r="V10" s="28" t="n">
        <v>867</v>
      </c>
      <c r="W10" s="28" t="n"/>
      <c r="X10" s="28" t="n"/>
      <c r="Y10" s="28" t="n"/>
      <c r="Z10" s="28" t="n"/>
      <c r="AA10" s="28" t="n"/>
      <c r="AB10" s="28" t="n"/>
      <c r="AC10" s="28" t="n"/>
      <c r="AD10" s="28" t="n"/>
      <c r="AE10" s="28" t="n"/>
      <c r="AF10" s="28" t="n"/>
      <c r="AG10" s="28" t="n"/>
      <c r="AH10" s="28" t="n"/>
      <c r="AI10" s="28" t="n"/>
      <c r="AJ10" s="28" t="n"/>
      <c r="AK10" s="28" t="n"/>
      <c r="AL10" s="28" t="n"/>
      <c r="AM10" s="28" t="n"/>
      <c r="AN10" s="28" t="n"/>
      <c r="AO10" s="28" t="n"/>
      <c r="AP10" s="28" t="n"/>
      <c r="AQ10" s="28" t="n"/>
      <c r="AR10" s="28" t="n"/>
      <c r="AS10" s="28" t="n"/>
      <c r="AT10" s="28" t="n"/>
      <c r="AU10" s="28" t="n"/>
      <c r="AV10" s="28" t="n"/>
      <c r="AW10" s="28" t="n"/>
      <c r="AX10" s="28" t="n"/>
      <c r="AY10" s="28" t="n"/>
      <c r="AZ10" s="28" t="n"/>
      <c r="BA10" s="28" t="n"/>
      <c r="BB10" s="28" t="n"/>
      <c r="BC10" s="28" t="n"/>
      <c r="BD10" s="28" t="n"/>
      <c r="BE10" s="28" t="n"/>
      <c r="BF10" s="28" t="n"/>
      <c r="BG10" s="28" t="n"/>
      <c r="BH10" s="28" t="n"/>
      <c r="BI10" s="28" t="n"/>
      <c r="BJ10" s="28" t="n"/>
      <c r="BK10" s="28" t="n"/>
      <c r="BL10" s="28" t="n"/>
      <c r="BM10" s="28" t="n"/>
      <c r="BN10" s="28" t="n"/>
      <c r="BO10" s="28" t="n"/>
      <c r="BP10" s="28" t="n"/>
      <c r="BQ10" s="28" t="n"/>
      <c r="BR10" s="28" t="n"/>
    </row>
    <row r="11" ht="17" customHeight="1" s="91">
      <c r="A11" s="26" t="inlineStr">
        <is>
          <t>1.6.15.368</t>
        </is>
      </c>
      <c r="B11" s="26" t="n"/>
      <c r="C11" s="26" t="n"/>
      <c r="D11" s="26" t="inlineStr">
        <is>
          <t>WO-ZZ00020336</t>
        </is>
      </c>
      <c r="E11" s="27" t="inlineStr">
        <is>
          <t>EQ Pants Jumbo Pack XLarge 42s × 2 弱酸 2025/11/10</t>
        </is>
      </c>
      <c r="F11" t="inlineStr">
        <is>
          <t>XL</t>
        </is>
      </c>
      <c r="G11" s="26" t="n">
        <v>42</v>
      </c>
      <c r="H11" s="26" t="n">
        <v>2</v>
      </c>
      <c r="I11" s="117" t="n"/>
      <c r="J11" s="117" t="n"/>
      <c r="K11" s="19" t="n">
        <v>4000</v>
      </c>
      <c r="L11" s="19">
        <f>J10*F10*G10</f>
        <v/>
      </c>
      <c r="M11" s="19" t="n">
        <v>0</v>
      </c>
      <c r="N11" s="24" t="n"/>
      <c r="O11" s="24" t="n"/>
      <c r="P11" s="24" t="n"/>
      <c r="Q11" s="24" t="n"/>
      <c r="R11" s="24" t="n"/>
      <c r="S11" s="24" t="n"/>
      <c r="T11" s="24" t="n"/>
      <c r="U11" s="24" t="n"/>
      <c r="V11" s="24" t="n">
        <v>1008</v>
      </c>
      <c r="W11" s="24" t="n">
        <v>2992</v>
      </c>
      <c r="X11" s="24" t="n"/>
      <c r="Y11" s="24" t="n"/>
      <c r="Z11" s="24" t="n"/>
      <c r="AA11" s="24" t="n"/>
      <c r="AB11" s="24" t="n"/>
      <c r="AC11" s="24" t="n"/>
      <c r="AD11" s="24" t="n"/>
      <c r="AE11" s="24" t="n"/>
      <c r="AF11" s="24" t="n"/>
      <c r="AG11" s="24" t="n"/>
      <c r="AH11" s="24" t="n"/>
      <c r="AI11" s="24" t="n"/>
      <c r="AJ11" s="24" t="n"/>
      <c r="AK11" s="24" t="n"/>
      <c r="AL11" s="24" t="n"/>
      <c r="AM11" s="24" t="n"/>
      <c r="AN11" s="24" t="n"/>
      <c r="AO11" s="24" t="n"/>
      <c r="AP11" s="24" t="n"/>
      <c r="AQ11" s="24" t="n"/>
      <c r="AR11" s="24" t="n"/>
      <c r="AS11" s="24" t="n"/>
      <c r="AT11" s="24" t="n"/>
      <c r="AU11" s="24" t="n"/>
      <c r="AV11" s="24" t="n"/>
      <c r="AW11" s="24" t="n"/>
      <c r="AX11" s="24" t="n"/>
      <c r="AY11" s="24" t="n"/>
      <c r="AZ11" s="24" t="n"/>
      <c r="BA11" s="24" t="n"/>
      <c r="BB11" s="24" t="n"/>
      <c r="BC11" s="24" t="n"/>
      <c r="BD11" s="24" t="n"/>
      <c r="BE11" s="24" t="n"/>
      <c r="BF11" s="24" t="n"/>
      <c r="BG11" s="24" t="n"/>
      <c r="BH11" s="24" t="n"/>
      <c r="BI11" s="24" t="n"/>
      <c r="BJ11" s="24" t="n"/>
      <c r="BK11" s="24" t="n"/>
      <c r="BL11" s="24" t="n"/>
      <c r="BM11" s="24" t="n"/>
      <c r="BN11" s="24" t="n"/>
      <c r="BO11" s="24" t="n"/>
      <c r="BP11" s="24" t="n"/>
      <c r="BQ11" s="24" t="n"/>
      <c r="BR11" s="24" t="n"/>
    </row>
  </sheetData>
  <mergeCells count="3">
    <mergeCell ref="A1:H4"/>
    <mergeCell ref="I3:J4"/>
    <mergeCell ref="F5:G5"/>
  </mergeCells>
  <conditionalFormatting sqref="D6">
    <cfRule type="cellIs" priority="4" operator="equal" dxfId="0" stopIfTrue="1">
      <formula>"C-B&gt;30"</formula>
    </cfRule>
    <cfRule type="cellIs" priority="3" operator="equal" dxfId="1" stopIfTrue="1">
      <formula>"C-B&gt;10"</formula>
    </cfRule>
  </conditionalFormatting>
  <conditionalFormatting sqref="D7">
    <cfRule type="cellIs" priority="2" operator="equal" dxfId="0" stopIfTrue="1">
      <formula>"C-B&gt;30"</formula>
    </cfRule>
    <cfRule type="cellIs" priority="1" operator="equal" dxfId="1" stopIfTrue="1">
      <formula>"C-B&gt;10"</formula>
    </cfRule>
  </conditionalFormatting>
  <conditionalFormatting sqref="D8">
    <cfRule type="cellIs" priority="7" operator="equal" dxfId="1" stopIfTrue="1">
      <formula>"C-B&gt;10"</formula>
    </cfRule>
    <cfRule type="cellIs" priority="8" operator="equal" dxfId="0" stopIfTrue="1">
      <formula>"C-B&gt;30"</formula>
    </cfRule>
  </conditionalFormatting>
  <conditionalFormatting sqref="D9">
    <cfRule type="cellIs" priority="9" operator="equal" dxfId="1" stopIfTrue="1">
      <formula>"C-B&gt;10"</formula>
    </cfRule>
    <cfRule type="cellIs" priority="10" operator="equal" dxfId="0" stopIfTrue="1">
      <formula>"C-B&gt;30"</formula>
    </cfRule>
  </conditionalFormatting>
  <conditionalFormatting sqref="D10">
    <cfRule type="cellIs" priority="33" operator="equal" dxfId="1" stopIfTrue="1">
      <formula>"C-B&gt;10"</formula>
    </cfRule>
    <cfRule type="cellIs" priority="34" operator="equal" dxfId="0" stopIfTrue="1">
      <formula>"C-B&gt;30"</formula>
    </cfRule>
  </conditionalFormatting>
  <dataValidations count="1">
    <dataValidation sqref="M2:BQ2" showDropDown="0" showInputMessage="1" showErrorMessage="1" allowBlank="1" type="list">
      <formula1>"单,双"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eet13">
    <outlinePr summaryBelow="1" summaryRight="1"/>
    <pageSetUpPr/>
  </sheetPr>
  <dimension ref="A1:BQ11"/>
  <sheetViews>
    <sheetView showGridLines="0" zoomScale="85" zoomScaleNormal="85" workbookViewId="0">
      <pane xSplit="12" ySplit="5" topLeftCell="M6" activePane="bottomRight" state="frozen"/>
      <selection pane="topRight" activeCell="A1" sqref="A1"/>
      <selection pane="bottomLeft" activeCell="A1" sqref="A1"/>
      <selection pane="bottomRight" activeCell="R13" sqref="R13"/>
    </sheetView>
  </sheetViews>
  <sheetFormatPr baseColWidth="10" defaultColWidth="8.83203125" defaultRowHeight="15"/>
  <cols>
    <col width="11.83203125" customWidth="1" style="91" min="1" max="1"/>
    <col width="13.83203125" customWidth="1" style="91" min="2" max="2"/>
    <col width="8" customWidth="1" style="91" min="3" max="3"/>
    <col width="19.5" customWidth="1" style="91" min="4" max="4"/>
    <col width="44" customWidth="1" style="91" min="5" max="5"/>
    <col width="8.83203125" customWidth="1" style="3" min="8" max="8"/>
    <col width="10.1640625" customWidth="1" style="3" min="9" max="9"/>
    <col width="11.83203125" customWidth="1" style="91" min="10" max="10"/>
    <col width="12.83203125" customWidth="1" style="91" min="11" max="11"/>
    <col width="12.33203125" customWidth="1" style="91" min="12" max="12"/>
    <col width="9" customWidth="1" style="91" min="13" max="68"/>
  </cols>
  <sheetData>
    <row r="1" ht="16.25" customFormat="1" customHeight="1" s="101">
      <c r="A1" s="100" t="inlineStr">
        <is>
          <t>BD-5#拉拉裤</t>
        </is>
      </c>
      <c r="J1" s="4" t="inlineStr">
        <is>
          <t>单班</t>
        </is>
      </c>
      <c r="K1" s="4" t="n">
        <v>178200</v>
      </c>
      <c r="L1" s="5" t="inlineStr">
        <is>
          <t>未排产计划</t>
        </is>
      </c>
      <c r="M1" s="107" t="n"/>
    </row>
    <row r="2" ht="16.25" customFormat="1" customHeight="1" s="101">
      <c r="J2" s="4" t="inlineStr">
        <is>
          <t>双班</t>
        </is>
      </c>
      <c r="K2" s="4" t="n">
        <v>324000</v>
      </c>
      <c r="L2" s="5" t="inlineStr">
        <is>
          <t>4月排产计划</t>
        </is>
      </c>
      <c r="M2" s="108">
        <f>SUM(#REF!)</f>
        <v/>
      </c>
      <c r="N2" s="109" t="inlineStr">
        <is>
          <t>单</t>
        </is>
      </c>
      <c r="O2" s="109" t="inlineStr">
        <is>
          <t>单</t>
        </is>
      </c>
      <c r="P2" s="109" t="inlineStr">
        <is>
          <t>单</t>
        </is>
      </c>
      <c r="Q2" s="109" t="inlineStr">
        <is>
          <t>单</t>
        </is>
      </c>
      <c r="R2" s="109" t="inlineStr"/>
      <c r="S2" s="109" t="inlineStr">
        <is>
          <t>单</t>
        </is>
      </c>
      <c r="T2" s="109" t="inlineStr">
        <is>
          <t>单</t>
        </is>
      </c>
      <c r="U2" s="109" t="inlineStr">
        <is>
          <t>单</t>
        </is>
      </c>
      <c r="V2" s="109" t="inlineStr">
        <is>
          <t>单</t>
        </is>
      </c>
      <c r="W2" s="109" t="inlineStr">
        <is>
          <t>单</t>
        </is>
      </c>
      <c r="X2" s="109" t="inlineStr">
        <is>
          <t>单</t>
        </is>
      </c>
      <c r="Y2" s="109" t="inlineStr"/>
      <c r="Z2" s="109" t="inlineStr">
        <is>
          <t>单</t>
        </is>
      </c>
      <c r="AA2" s="109" t="inlineStr">
        <is>
          <t>单</t>
        </is>
      </c>
      <c r="AB2" s="109" t="inlineStr">
        <is>
          <t>单</t>
        </is>
      </c>
      <c r="AC2" s="109" t="inlineStr">
        <is>
          <t>单</t>
        </is>
      </c>
      <c r="AD2" s="109" t="inlineStr">
        <is>
          <t>单</t>
        </is>
      </c>
      <c r="AE2" s="109" t="inlineStr">
        <is>
          <t>单</t>
        </is>
      </c>
      <c r="AF2" s="109" t="inlineStr"/>
      <c r="AG2" s="109" t="inlineStr">
        <is>
          <t>单</t>
        </is>
      </c>
      <c r="AH2" s="109" t="inlineStr">
        <is>
          <t>单</t>
        </is>
      </c>
      <c r="AI2" s="109" t="inlineStr">
        <is>
          <t>单</t>
        </is>
      </c>
      <c r="AJ2" s="109" t="inlineStr">
        <is>
          <t>单</t>
        </is>
      </c>
      <c r="AK2" s="109" t="inlineStr">
        <is>
          <t>单</t>
        </is>
      </c>
      <c r="AL2" s="109" t="inlineStr">
        <is>
          <t>单</t>
        </is>
      </c>
      <c r="AM2" s="109" t="inlineStr"/>
      <c r="AN2" s="109" t="inlineStr">
        <is>
          <t>单</t>
        </is>
      </c>
      <c r="AO2" s="109" t="inlineStr">
        <is>
          <t>单</t>
        </is>
      </c>
      <c r="AP2" s="109" t="inlineStr">
        <is>
          <t>单</t>
        </is>
      </c>
      <c r="AQ2" s="109" t="inlineStr">
        <is>
          <t>单</t>
        </is>
      </c>
      <c r="AR2" s="109" t="inlineStr">
        <is>
          <t>单</t>
        </is>
      </c>
      <c r="AS2" s="109" t="inlineStr">
        <is>
          <t>单</t>
        </is>
      </c>
      <c r="AT2" s="109" t="inlineStr"/>
      <c r="AU2" s="109" t="inlineStr">
        <is>
          <t>单</t>
        </is>
      </c>
      <c r="AV2" s="109" t="inlineStr">
        <is>
          <t>单</t>
        </is>
      </c>
      <c r="AW2" s="109" t="inlineStr">
        <is>
          <t>单</t>
        </is>
      </c>
      <c r="AX2" s="109" t="inlineStr">
        <is>
          <t>单</t>
        </is>
      </c>
      <c r="AY2" s="109" t="inlineStr">
        <is>
          <t>单</t>
        </is>
      </c>
      <c r="AZ2" s="109" t="inlineStr">
        <is>
          <t>单</t>
        </is>
      </c>
      <c r="BA2" s="109" t="inlineStr"/>
      <c r="BB2" s="109" t="inlineStr">
        <is>
          <t>单</t>
        </is>
      </c>
      <c r="BC2" s="109" t="inlineStr">
        <is>
          <t>单</t>
        </is>
      </c>
      <c r="BD2" s="109" t="inlineStr">
        <is>
          <t>单</t>
        </is>
      </c>
      <c r="BE2" s="109" t="inlineStr">
        <is>
          <t>单</t>
        </is>
      </c>
      <c r="BF2" s="109" t="inlineStr">
        <is>
          <t>单</t>
        </is>
      </c>
      <c r="BG2" s="109" t="inlineStr">
        <is>
          <t>单</t>
        </is>
      </c>
      <c r="BH2" s="109" t="inlineStr"/>
      <c r="BI2" s="109" t="inlineStr">
        <is>
          <t>单</t>
        </is>
      </c>
      <c r="BJ2" s="109" t="inlineStr">
        <is>
          <t>单</t>
        </is>
      </c>
      <c r="BK2" s="109" t="inlineStr">
        <is>
          <t>单</t>
        </is>
      </c>
      <c r="BL2" s="109" t="inlineStr">
        <is>
          <t>单</t>
        </is>
      </c>
      <c r="BM2" s="109" t="inlineStr">
        <is>
          <t>单</t>
        </is>
      </c>
      <c r="BN2" s="109" t="inlineStr">
        <is>
          <t>单</t>
        </is>
      </c>
      <c r="BO2" s="109" t="inlineStr">
        <is>
          <t>单</t>
        </is>
      </c>
      <c r="BP2" s="109" t="inlineStr">
        <is>
          <t>单</t>
        </is>
      </c>
      <c r="BQ2" s="109" t="inlineStr">
        <is>
          <t>单</t>
        </is>
      </c>
    </row>
    <row r="3" ht="17" customFormat="1" customHeight="1" s="101">
      <c r="J3" s="102" t="n"/>
      <c r="K3" s="103" t="n"/>
      <c r="N3" s="0">
        <f>MAX(0,ROWS(UNIQUE(FILTER($F7:$F11,(N7:N11&gt;0)*($F7:$F11&lt;&gt;""))))-1)*IF(N2="双",VLOOKUP($A$1,'换码设置'!$A:$C,2,FALSE),IF(N2="单",VLOOKUP($A$1,'换码设置'!$A:$C,3,FALSE),0))</f>
        <v/>
      </c>
      <c r="O3" s="0">
        <f>MAX(0,ROWS(UNIQUE(FILTER($F7:$F11,(O7:O11&gt;0)*($F7:$F11&lt;&gt;""))))-1)*IF(O2="双",VLOOKUP($A$1,'换码设置'!$A:$C,2,FALSE),IF(O2="单",VLOOKUP($A$1,'换码设置'!$A:$C,3,FALSE),0))</f>
        <v/>
      </c>
      <c r="P3" s="0">
        <f>MAX(0,ROWS(UNIQUE(FILTER($F7:$F11,(P7:P11&gt;0)*($F7:$F11&lt;&gt;""))))-1)*IF(P2="双",VLOOKUP($A$1,'换码设置'!$A:$C,2,FALSE),IF(P2="单",VLOOKUP($A$1,'换码设置'!$A:$C,3,FALSE),0))</f>
        <v/>
      </c>
      <c r="Q3" s="0">
        <f>MAX(0,ROWS(UNIQUE(FILTER($F7:$F11,(Q7:Q11&gt;0)*($F7:$F11&lt;&gt;""))))-1)*IF(Q2="双",VLOOKUP($A$1,'换码设置'!$A:$C,2,FALSE),IF(Q2="单",VLOOKUP($A$1,'换码设置'!$A:$C,3,FALSE),0))</f>
        <v/>
      </c>
      <c r="R3" s="0">
        <f>MAX(0,ROWS(UNIQUE(FILTER($F7:$F11,(R7:R11&gt;0)*($F7:$F11&lt;&gt;""))))-1)*IF(R2="双",VLOOKUP($A$1,'换码设置'!$A:$C,2,FALSE),IF(R2="单",VLOOKUP($A$1,'换码设置'!$A:$C,3,FALSE),0))</f>
        <v/>
      </c>
      <c r="S3" s="0">
        <f>MAX(0,ROWS(UNIQUE(FILTER($F7:$F11,(S7:S11&gt;0)*($F7:$F11&lt;&gt;""))))-1)*IF(S2="双",VLOOKUP($A$1,'换码设置'!$A:$C,2,FALSE),IF(S2="单",VLOOKUP($A$1,'换码设置'!$A:$C,3,FALSE),0))</f>
        <v/>
      </c>
      <c r="T3" s="0">
        <f>MAX(0,ROWS(UNIQUE(FILTER($F7:$F11,(T7:T11&gt;0)*($F7:$F11&lt;&gt;""))))-1)*IF(T2="双",VLOOKUP($A$1,'换码设置'!$A:$C,2,FALSE),IF(T2="单",VLOOKUP($A$1,'换码设置'!$A:$C,3,FALSE),0))</f>
        <v/>
      </c>
      <c r="U3" s="0">
        <f>MAX(0,ROWS(UNIQUE(FILTER($F7:$F11,(U7:U11&gt;0)*($F7:$F11&lt;&gt;""))))-1)*IF(U2="双",VLOOKUP($A$1,'换码设置'!$A:$C,2,FALSE),IF(U2="单",VLOOKUP($A$1,'换码设置'!$A:$C,3,FALSE),0))</f>
        <v/>
      </c>
      <c r="V3" s="0">
        <f>MAX(0,ROWS(UNIQUE(FILTER($F7:$F11,(V7:V11&gt;0)*($F7:$F11&lt;&gt;""))))-1)*IF(V2="双",VLOOKUP($A$1,'换码设置'!$A:$C,2,FALSE),IF(V2="单",VLOOKUP($A$1,'换码设置'!$A:$C,3,FALSE),0))</f>
        <v/>
      </c>
      <c r="W3" s="0">
        <f>MAX(0,ROWS(UNIQUE(FILTER($F7:$F11,(W7:W11&gt;0)*($F7:$F11&lt;&gt;""))))-1)*IF(W2="双",VLOOKUP($A$1,'换码设置'!$A:$C,2,FALSE),IF(W2="单",VLOOKUP($A$1,'换码设置'!$A:$C,3,FALSE),0))</f>
        <v/>
      </c>
      <c r="X3" s="0">
        <f>MAX(0,ROWS(UNIQUE(FILTER($F7:$F11,(X7:X11&gt;0)*($F7:$F11&lt;&gt;""))))-1)*IF(X2="双",VLOOKUP($A$1,'换码设置'!$A:$C,2,FALSE),IF(X2="单",VLOOKUP($A$1,'换码设置'!$A:$C,3,FALSE),0))</f>
        <v/>
      </c>
      <c r="Y3" s="0">
        <f>MAX(0,ROWS(UNIQUE(FILTER($F7:$F11,(Y7:Y11&gt;0)*($F7:$F11&lt;&gt;""))))-1)*IF(Y2="双",VLOOKUP($A$1,'换码设置'!$A:$C,2,FALSE),IF(Y2="单",VLOOKUP($A$1,'换码设置'!$A:$C,3,FALSE),0))</f>
        <v/>
      </c>
      <c r="Z3" s="0">
        <f>MAX(0,ROWS(UNIQUE(FILTER($F7:$F11,(Z7:Z11&gt;0)*($F7:$F11&lt;&gt;""))))-1)*IF(Z2="双",VLOOKUP($A$1,'换码设置'!$A:$C,2,FALSE),IF(Z2="单",VLOOKUP($A$1,'换码设置'!$A:$C,3,FALSE),0))</f>
        <v/>
      </c>
      <c r="AA3" s="0">
        <f>MAX(0,ROWS(UNIQUE(FILTER($F7:$F11,(AA7:AA11&gt;0)*($F7:$F11&lt;&gt;""))))-1)*IF(AA2="双",VLOOKUP($A$1,'换码设置'!$A:$C,2,FALSE),IF(AA2="单",VLOOKUP($A$1,'换码设置'!$A:$C,3,FALSE),0))</f>
        <v/>
      </c>
      <c r="AB3" s="0">
        <f>MAX(0,ROWS(UNIQUE(FILTER($F7:$F11,(AB7:AB11&gt;0)*($F7:$F11&lt;&gt;""))))-1)*IF(AB2="双",VLOOKUP($A$1,'换码设置'!$A:$C,2,FALSE),IF(AB2="单",VLOOKUP($A$1,'换码设置'!$A:$C,3,FALSE),0))</f>
        <v/>
      </c>
      <c r="AC3" s="0">
        <f>MAX(0,ROWS(UNIQUE(FILTER($F7:$F11,(AC7:AC11&gt;0)*($F7:$F11&lt;&gt;""))))-1)*IF(AC2="双",VLOOKUP($A$1,'换码设置'!$A:$C,2,FALSE),IF(AC2="单",VLOOKUP($A$1,'换码设置'!$A:$C,3,FALSE),0))</f>
        <v/>
      </c>
      <c r="AD3" s="0">
        <f>MAX(0,ROWS(UNIQUE(FILTER($F7:$F11,(AD7:AD11&gt;0)*($F7:$F11&lt;&gt;""))))-1)*IF(AD2="双",VLOOKUP($A$1,'换码设置'!$A:$C,2,FALSE),IF(AD2="单",VLOOKUP($A$1,'换码设置'!$A:$C,3,FALSE),0))</f>
        <v/>
      </c>
      <c r="AE3" s="0">
        <f>MAX(0,ROWS(UNIQUE(FILTER($F7:$F11,(AE7:AE11&gt;0)*($F7:$F11&lt;&gt;""))))-1)*IF(AE2="双",VLOOKUP($A$1,'换码设置'!$A:$C,2,FALSE),IF(AE2="单",VLOOKUP($A$1,'换码设置'!$A:$C,3,FALSE),0))</f>
        <v/>
      </c>
      <c r="AF3" s="0">
        <f>MAX(0,ROWS(UNIQUE(FILTER($F7:$F11,(AF7:AF11&gt;0)*($F7:$F11&lt;&gt;""))))-1)*IF(AF2="双",VLOOKUP($A$1,'换码设置'!$A:$C,2,FALSE),IF(AF2="单",VLOOKUP($A$1,'换码设置'!$A:$C,3,FALSE),0))</f>
        <v/>
      </c>
      <c r="AG3" s="0">
        <f>MAX(0,ROWS(UNIQUE(FILTER($F7:$F11,(AG7:AG11&gt;0)*($F7:$F11&lt;&gt;""))))-1)*IF(AG2="双",VLOOKUP($A$1,'换码设置'!$A:$C,2,FALSE),IF(AG2="单",VLOOKUP($A$1,'换码设置'!$A:$C,3,FALSE),0))</f>
        <v/>
      </c>
      <c r="AH3" s="0">
        <f>MAX(0,ROWS(UNIQUE(FILTER($F7:$F11,(AH7:AH11&gt;0)*($F7:$F11&lt;&gt;""))))-1)*IF(AH2="双",VLOOKUP($A$1,'换码设置'!$A:$C,2,FALSE),IF(AH2="单",VLOOKUP($A$1,'换码设置'!$A:$C,3,FALSE),0))</f>
        <v/>
      </c>
      <c r="AI3" s="0">
        <f>MAX(0,ROWS(UNIQUE(FILTER($F7:$F11,(AI7:AI11&gt;0)*($F7:$F11&lt;&gt;""))))-1)*IF(AI2="双",VLOOKUP($A$1,'换码设置'!$A:$C,2,FALSE),IF(AI2="单",VLOOKUP($A$1,'换码设置'!$A:$C,3,FALSE),0))</f>
        <v/>
      </c>
      <c r="AJ3" s="0">
        <f>MAX(0,ROWS(UNIQUE(FILTER($F7:$F11,(AJ7:AJ11&gt;0)*($F7:$F11&lt;&gt;""))))-1)*IF(AJ2="双",VLOOKUP($A$1,'换码设置'!$A:$C,2,FALSE),IF(AJ2="单",VLOOKUP($A$1,'换码设置'!$A:$C,3,FALSE),0))</f>
        <v/>
      </c>
      <c r="AK3" s="0">
        <f>MAX(0,ROWS(UNIQUE(FILTER($F7:$F11,(AK7:AK11&gt;0)*($F7:$F11&lt;&gt;""))))-1)*IF(AK2="双",VLOOKUP($A$1,'换码设置'!$A:$C,2,FALSE),IF(AK2="单",VLOOKUP($A$1,'换码设置'!$A:$C,3,FALSE),0))</f>
        <v/>
      </c>
      <c r="AL3" s="0">
        <f>MAX(0,ROWS(UNIQUE(FILTER($F7:$F11,(AL7:AL11&gt;0)*($F7:$F11&lt;&gt;""))))-1)*IF(AL2="双",VLOOKUP($A$1,'换码设置'!$A:$C,2,FALSE),IF(AL2="单",VLOOKUP($A$1,'换码设置'!$A:$C,3,FALSE),0))</f>
        <v/>
      </c>
      <c r="AM3" s="0">
        <f>MAX(0,ROWS(UNIQUE(FILTER($F7:$F11,(AM7:AM11&gt;0)*($F7:$F11&lt;&gt;""))))-1)*IF(AM2="双",VLOOKUP($A$1,'换码设置'!$A:$C,2,FALSE),IF(AM2="单",VLOOKUP($A$1,'换码设置'!$A:$C,3,FALSE),0))</f>
        <v/>
      </c>
      <c r="AN3" s="0">
        <f>MAX(0,ROWS(UNIQUE(FILTER($F7:$F11,(AN7:AN11&gt;0)*($F7:$F11&lt;&gt;""))))-1)*IF(AN2="双",VLOOKUP($A$1,'换码设置'!$A:$C,2,FALSE),IF(AN2="单",VLOOKUP($A$1,'换码设置'!$A:$C,3,FALSE),0))</f>
        <v/>
      </c>
      <c r="AO3" s="0">
        <f>MAX(0,ROWS(UNIQUE(FILTER($F7:$F11,(AO7:AO11&gt;0)*($F7:$F11&lt;&gt;""))))-1)*IF(AO2="双",VLOOKUP($A$1,'换码设置'!$A:$C,2,FALSE),IF(AO2="单",VLOOKUP($A$1,'换码设置'!$A:$C,3,FALSE),0))</f>
        <v/>
      </c>
      <c r="AP3" s="0">
        <f>MAX(0,ROWS(UNIQUE(FILTER($F7:$F11,(AP7:AP11&gt;0)*($F7:$F11&lt;&gt;""))))-1)*IF(AP2="双",VLOOKUP($A$1,'换码设置'!$A:$C,2,FALSE),IF(AP2="单",VLOOKUP($A$1,'换码设置'!$A:$C,3,FALSE),0))</f>
        <v/>
      </c>
      <c r="AQ3" s="0">
        <f>MAX(0,ROWS(UNIQUE(FILTER($F7:$F11,(AQ7:AQ11&gt;0)*($F7:$F11&lt;&gt;""))))-1)*IF(AQ2="双",VLOOKUP($A$1,'换码设置'!$A:$C,2,FALSE),IF(AQ2="单",VLOOKUP($A$1,'换码设置'!$A:$C,3,FALSE),0))</f>
        <v/>
      </c>
      <c r="AR3" s="0">
        <f>MAX(0,ROWS(UNIQUE(FILTER($F7:$F11,(AR7:AR11&gt;0)*($F7:$F11&lt;&gt;""))))-1)*IF(AR2="双",VLOOKUP($A$1,'换码设置'!$A:$C,2,FALSE),IF(AR2="单",VLOOKUP($A$1,'换码设置'!$A:$C,3,FALSE),0))</f>
        <v/>
      </c>
      <c r="AS3" s="0">
        <f>MAX(0,ROWS(UNIQUE(FILTER($F7:$F11,(AS7:AS11&gt;0)*($F7:$F11&lt;&gt;""))))-1)*IF(AS2="双",VLOOKUP($A$1,'换码设置'!$A:$C,2,FALSE),IF(AS2="单",VLOOKUP($A$1,'换码设置'!$A:$C,3,FALSE),0))</f>
        <v/>
      </c>
      <c r="AT3" s="0">
        <f>MAX(0,ROWS(UNIQUE(FILTER($F7:$F11,(AT7:AT11&gt;0)*($F7:$F11&lt;&gt;""))))-1)*IF(AT2="双",VLOOKUP($A$1,'换码设置'!$A:$C,2,FALSE),IF(AT2="单",VLOOKUP($A$1,'换码设置'!$A:$C,3,FALSE),0))</f>
        <v/>
      </c>
      <c r="AU3" s="0">
        <f>MAX(0,ROWS(UNIQUE(FILTER($F7:$F11,(AU7:AU11&gt;0)*($F7:$F11&lt;&gt;""))))-1)*IF(AU2="双",VLOOKUP($A$1,'换码设置'!$A:$C,2,FALSE),IF(AU2="单",VLOOKUP($A$1,'换码设置'!$A:$C,3,FALSE),0))</f>
        <v/>
      </c>
      <c r="AV3" s="0">
        <f>MAX(0,ROWS(UNIQUE(FILTER($F7:$F11,(AV7:AV11&gt;0)*($F7:$F11&lt;&gt;""))))-1)*IF(AV2="双",VLOOKUP($A$1,'换码设置'!$A:$C,2,FALSE),IF(AV2="单",VLOOKUP($A$1,'换码设置'!$A:$C,3,FALSE),0))</f>
        <v/>
      </c>
      <c r="AW3" s="0">
        <f>MAX(0,ROWS(UNIQUE(FILTER($F7:$F11,(AW7:AW11&gt;0)*($F7:$F11&lt;&gt;""))))-1)*IF(AW2="双",VLOOKUP($A$1,'换码设置'!$A:$C,2,FALSE),IF(AW2="单",VLOOKUP($A$1,'换码设置'!$A:$C,3,FALSE),0))</f>
        <v/>
      </c>
      <c r="AX3" s="0">
        <f>MAX(0,ROWS(UNIQUE(FILTER($F7:$F11,(AX7:AX11&gt;0)*($F7:$F11&lt;&gt;""))))-1)*IF(AX2="双",VLOOKUP($A$1,'换码设置'!$A:$C,2,FALSE),IF(AX2="单",VLOOKUP($A$1,'换码设置'!$A:$C,3,FALSE),0))</f>
        <v/>
      </c>
      <c r="AY3" s="0">
        <f>MAX(0,ROWS(UNIQUE(FILTER($F7:$F11,(AY7:AY11&gt;0)*($F7:$F11&lt;&gt;""))))-1)*IF(AY2="双",VLOOKUP($A$1,'换码设置'!$A:$C,2,FALSE),IF(AY2="单",VLOOKUP($A$1,'换码设置'!$A:$C,3,FALSE),0))</f>
        <v/>
      </c>
      <c r="AZ3" s="0">
        <f>MAX(0,ROWS(UNIQUE(FILTER($F7:$F11,(AZ7:AZ11&gt;0)*($F7:$F11&lt;&gt;""))))-1)*IF(AZ2="双",VLOOKUP($A$1,'换码设置'!$A:$C,2,FALSE),IF(AZ2="单",VLOOKUP($A$1,'换码设置'!$A:$C,3,FALSE),0))</f>
        <v/>
      </c>
      <c r="BA3" s="0">
        <f>MAX(0,ROWS(UNIQUE(FILTER($F7:$F11,(BA7:BA11&gt;0)*($F7:$F11&lt;&gt;""))))-1)*IF(BA2="双",VLOOKUP($A$1,'换码设置'!$A:$C,2,FALSE),IF(BA2="单",VLOOKUP($A$1,'换码设置'!$A:$C,3,FALSE),0))</f>
        <v/>
      </c>
      <c r="BB3" s="0">
        <f>MAX(0,ROWS(UNIQUE(FILTER($F7:$F11,(BB7:BB11&gt;0)*($F7:$F11&lt;&gt;""))))-1)*IF(BB2="双",VLOOKUP($A$1,'换码设置'!$A:$C,2,FALSE),IF(BB2="单",VLOOKUP($A$1,'换码设置'!$A:$C,3,FALSE),0))</f>
        <v/>
      </c>
      <c r="BC3" s="0">
        <f>MAX(0,ROWS(UNIQUE(FILTER($F7:$F11,(BC7:BC11&gt;0)*($F7:$F11&lt;&gt;""))))-1)*IF(BC2="双",VLOOKUP($A$1,'换码设置'!$A:$C,2,FALSE),IF(BC2="单",VLOOKUP($A$1,'换码设置'!$A:$C,3,FALSE),0))</f>
        <v/>
      </c>
      <c r="BD3" s="0">
        <f>MAX(0,ROWS(UNIQUE(FILTER($F7:$F11,(BD7:BD11&gt;0)*($F7:$F11&lt;&gt;""))))-1)*IF(BD2="双",VLOOKUP($A$1,'换码设置'!$A:$C,2,FALSE),IF(BD2="单",VLOOKUP($A$1,'换码设置'!$A:$C,3,FALSE),0))</f>
        <v/>
      </c>
      <c r="BE3" s="0">
        <f>MAX(0,ROWS(UNIQUE(FILTER($F7:$F11,(BE7:BE11&gt;0)*($F7:$F11&lt;&gt;""))))-1)*IF(BE2="双",VLOOKUP($A$1,'换码设置'!$A:$C,2,FALSE),IF(BE2="单",VLOOKUP($A$1,'换码设置'!$A:$C,3,FALSE),0))</f>
        <v/>
      </c>
      <c r="BF3" s="0">
        <f>MAX(0,ROWS(UNIQUE(FILTER($F7:$F11,(BF7:BF11&gt;0)*($F7:$F11&lt;&gt;""))))-1)*IF(BF2="双",VLOOKUP($A$1,'换码设置'!$A:$C,2,FALSE),IF(BF2="单",VLOOKUP($A$1,'换码设置'!$A:$C,3,FALSE),0))</f>
        <v/>
      </c>
      <c r="BG3" s="0">
        <f>MAX(0,ROWS(UNIQUE(FILTER($F7:$F11,(BG7:BG11&gt;0)*($F7:$F11&lt;&gt;""))))-1)*IF(BG2="双",VLOOKUP($A$1,'换码设置'!$A:$C,2,FALSE),IF(BG2="单",VLOOKUP($A$1,'换码设置'!$A:$C,3,FALSE),0))</f>
        <v/>
      </c>
      <c r="BH3" s="0">
        <f>MAX(0,ROWS(UNIQUE(FILTER($F7:$F11,(BH7:BH11&gt;0)*($F7:$F11&lt;&gt;""))))-1)*IF(BH2="双",VLOOKUP($A$1,'换码设置'!$A:$C,2,FALSE),IF(BH2="单",VLOOKUP($A$1,'换码设置'!$A:$C,3,FALSE),0))</f>
        <v/>
      </c>
      <c r="BI3" s="0">
        <f>MAX(0,ROWS(UNIQUE(FILTER($F7:$F11,(BI7:BI11&gt;0)*($F7:$F11&lt;&gt;""))))-1)*IF(BI2="双",VLOOKUP($A$1,'换码设置'!$A:$C,2,FALSE),IF(BI2="单",VLOOKUP($A$1,'换码设置'!$A:$C,3,FALSE),0))</f>
        <v/>
      </c>
      <c r="BJ3" s="0">
        <f>MAX(0,ROWS(UNIQUE(FILTER($F7:$F11,(BJ7:BJ11&gt;0)*($F7:$F11&lt;&gt;""))))-1)*IF(BJ2="双",VLOOKUP($A$1,'换码设置'!$A:$C,2,FALSE),IF(BJ2="单",VLOOKUP($A$1,'换码设置'!$A:$C,3,FALSE),0))</f>
        <v/>
      </c>
      <c r="BK3" s="0">
        <f>MAX(0,ROWS(UNIQUE(FILTER($F7:$F11,(BK7:BK11&gt;0)*($F7:$F11&lt;&gt;""))))-1)*IF(BK2="双",VLOOKUP($A$1,'换码设置'!$A:$C,2,FALSE),IF(BK2="单",VLOOKUP($A$1,'换码设置'!$A:$C,3,FALSE),0))</f>
        <v/>
      </c>
      <c r="BL3" s="0">
        <f>MAX(0,ROWS(UNIQUE(FILTER($F7:$F11,(BL7:BL11&gt;0)*($F7:$F11&lt;&gt;""))))-1)*IF(BL2="双",VLOOKUP($A$1,'换码设置'!$A:$C,2,FALSE),IF(BL2="单",VLOOKUP($A$1,'换码设置'!$A:$C,3,FALSE),0))</f>
        <v/>
      </c>
      <c r="BM3" s="0">
        <f>MAX(0,ROWS(UNIQUE(FILTER($F7:$F11,(BM7:BM11&gt;0)*($F7:$F11&lt;&gt;""))))-1)*IF(BM2="双",VLOOKUP($A$1,'换码设置'!$A:$C,2,FALSE),IF(BM2="单",VLOOKUP($A$1,'换码设置'!$A:$C,3,FALSE),0))</f>
        <v/>
      </c>
      <c r="BN3" s="0">
        <f>MAX(0,ROWS(UNIQUE(FILTER($F7:$F11,(BN7:BN11&gt;0)*($F7:$F11&lt;&gt;""))))-1)*IF(BN2="双",VLOOKUP($A$1,'换码设置'!$A:$C,2,FALSE),IF(BN2="单",VLOOKUP($A$1,'换码设置'!$A:$C,3,FALSE),0))</f>
        <v/>
      </c>
      <c r="BO3" s="0">
        <f>MAX(0,ROWS(UNIQUE(FILTER($F7:$F11,(BO7:BO11&gt;0)*($F7:$F11&lt;&gt;""))))-1)*IF(BO2="双",VLOOKUP($A$1,'换码设置'!$A:$C,2,FALSE),IF(BO2="单",VLOOKUP($A$1,'换码设置'!$A:$C,3,FALSE),0))</f>
        <v/>
      </c>
      <c r="BP3" s="0">
        <f>MAX(0,ROWS(UNIQUE(FILTER($F7:$F11,(BP7:BP11&gt;0)*($F7:$F11&lt;&gt;""))))-1)*IF(BP2="双",VLOOKUP($A$1,'换码设置'!$A:$C,2,FALSE),IF(BP2="单",VLOOKUP($A$1,'换码设置'!$A:$C,3,FALSE),0))</f>
        <v/>
      </c>
      <c r="BQ3" s="0">
        <f>MAX(0,ROWS(UNIQUE(FILTER($F7:$F11,(BQ7:BQ11&gt;0)*($F7:$F11&lt;&gt;""))))-1)*IF(BQ2="双",VLOOKUP($A$1,'换码设置'!$A:$C,2,FALSE),IF(BQ2="单",VLOOKUP($A$1,'换码设置'!$A:$C,3,FALSE),0))</f>
        <v/>
      </c>
    </row>
    <row r="4" ht="17" customFormat="1" customHeight="1" s="101">
      <c r="K4" s="103" t="n"/>
      <c r="L4" s="5" t="inlineStr">
        <is>
          <t>5月排产计划</t>
        </is>
      </c>
      <c r="M4" s="108">
        <f>SUM(M5:AL5)</f>
        <v/>
      </c>
      <c r="N4" s="109" t="n">
        <v>46148</v>
      </c>
      <c r="O4" s="109" t="n">
        <v>46149</v>
      </c>
      <c r="P4" s="109" t="n">
        <v>46150</v>
      </c>
      <c r="Q4" s="109" t="n">
        <v>46151</v>
      </c>
      <c r="R4" s="109" t="n">
        <v>46152</v>
      </c>
      <c r="S4" s="109" t="n">
        <v>46153</v>
      </c>
      <c r="T4" s="109" t="n">
        <v>46154</v>
      </c>
      <c r="U4" s="109" t="n">
        <v>46155</v>
      </c>
      <c r="V4" s="109" t="n">
        <v>46156</v>
      </c>
      <c r="W4" s="109" t="n">
        <v>46157</v>
      </c>
      <c r="X4" s="109" t="n">
        <v>46158</v>
      </c>
      <c r="Y4" s="109" t="n">
        <v>46159</v>
      </c>
      <c r="Z4" s="109" t="n">
        <v>46160</v>
      </c>
      <c r="AA4" s="109" t="n">
        <v>46161</v>
      </c>
      <c r="AB4" s="109" t="n">
        <v>46162</v>
      </c>
      <c r="AC4" s="109" t="n">
        <v>46163</v>
      </c>
      <c r="AD4" s="109" t="n">
        <v>46164</v>
      </c>
      <c r="AE4" s="109" t="n">
        <v>46165</v>
      </c>
      <c r="AF4" s="109" t="n">
        <v>46166</v>
      </c>
      <c r="AG4" s="109" t="n">
        <v>46167</v>
      </c>
      <c r="AH4" s="109" t="n">
        <v>46168</v>
      </c>
      <c r="AI4" s="109" t="n">
        <v>46169</v>
      </c>
      <c r="AJ4" s="109" t="n">
        <v>46170</v>
      </c>
      <c r="AK4" s="109" t="n">
        <v>46171</v>
      </c>
      <c r="AL4" s="109" t="n">
        <v>46172</v>
      </c>
      <c r="AM4" s="109" t="n">
        <v>46173</v>
      </c>
      <c r="AN4" s="109" t="n">
        <v>46174</v>
      </c>
      <c r="AO4" s="109" t="n">
        <v>46175</v>
      </c>
      <c r="AP4" s="109" t="n">
        <v>46176</v>
      </c>
      <c r="AQ4" s="109" t="n">
        <v>46177</v>
      </c>
      <c r="AR4" s="109" t="n">
        <v>46178</v>
      </c>
      <c r="AS4" s="109" t="n">
        <v>46179</v>
      </c>
      <c r="AT4" s="109" t="n">
        <v>46180</v>
      </c>
      <c r="AU4" s="109" t="n">
        <v>46181</v>
      </c>
      <c r="AV4" s="109" t="n">
        <v>46182</v>
      </c>
      <c r="AW4" s="109" t="n">
        <v>46183</v>
      </c>
      <c r="AX4" s="109" t="n">
        <v>46184</v>
      </c>
      <c r="AY4" s="109" t="n">
        <v>46185</v>
      </c>
      <c r="AZ4" s="109" t="n">
        <v>46186</v>
      </c>
      <c r="BA4" s="109" t="n">
        <v>46187</v>
      </c>
      <c r="BB4" s="109" t="n">
        <v>46188</v>
      </c>
      <c r="BC4" s="109" t="n">
        <v>46189</v>
      </c>
      <c r="BD4" s="109" t="n">
        <v>46190</v>
      </c>
      <c r="BE4" s="109" t="n">
        <v>46191</v>
      </c>
      <c r="BF4" s="109" t="n">
        <v>46192</v>
      </c>
      <c r="BG4" s="109" t="n">
        <v>46193</v>
      </c>
      <c r="BH4" s="109" t="n">
        <v>46194</v>
      </c>
      <c r="BI4" s="109" t="n">
        <v>46195</v>
      </c>
      <c r="BJ4" s="109" t="n">
        <v>46196</v>
      </c>
      <c r="BK4" s="109" t="n">
        <v>46197</v>
      </c>
      <c r="BL4" s="109" t="n">
        <v>46198</v>
      </c>
      <c r="BM4" s="109" t="n">
        <v>46199</v>
      </c>
      <c r="BN4" s="109" t="n">
        <v>46200</v>
      </c>
      <c r="BO4" s="109" t="n">
        <v>46201</v>
      </c>
      <c r="BP4" s="109" t="n">
        <v>46202</v>
      </c>
      <c r="BQ4" s="109" t="n">
        <v>46203</v>
      </c>
    </row>
    <row r="5" ht="15.5" customFormat="1" customHeight="1" s="101">
      <c r="G5" s="101" t="n"/>
      <c r="J5" s="95" t="n"/>
      <c r="K5" s="96" t="n"/>
      <c r="L5" s="5" t="inlineStr">
        <is>
          <t>目前总共订单</t>
        </is>
      </c>
      <c r="M5" s="110">
        <f>SUM(L1:L3)</f>
        <v/>
      </c>
      <c r="N5" s="10">
        <f>IF(N2="单",$K$1,IF(N2="双",$K$2,0))-N3-N6</f>
        <v/>
      </c>
      <c r="O5" s="10">
        <f>IF(O2="单",$K$1,IF(O2="双",$K$2,0))-O3-O6</f>
        <v/>
      </c>
      <c r="P5" s="10">
        <f>IF(P2="单",$K$1,IF(P2="双",$K$2,0))-P3-P6</f>
        <v/>
      </c>
      <c r="Q5" s="10">
        <f>IF(Q2="单",$K$1,IF(Q2="双",$K$2,0))-Q3-Q6</f>
        <v/>
      </c>
      <c r="R5" s="10">
        <f>IF(R2="单",$K$1,IF(R2="双",$K$2,0))-R3-R6</f>
        <v/>
      </c>
      <c r="S5" s="10">
        <f>IF(S2="单",$K$1,IF(S2="双",$K$2,0))-S3-S6</f>
        <v/>
      </c>
      <c r="T5" s="10">
        <f>IF(T2="单",$K$1,IF(T2="双",$K$2,0))-T3-T6</f>
        <v/>
      </c>
      <c r="U5" s="10">
        <f>IF(U2="单",$K$1,IF(U2="双",$K$2,0))-U3-U6</f>
        <v/>
      </c>
      <c r="V5" s="10">
        <f>IF(V2="单",$K$1,IF(V2="双",$K$2,0))-V3-V6</f>
        <v/>
      </c>
      <c r="W5" s="10">
        <f>IF(W2="单",$K$1,IF(W2="双",$K$2,0))-W3-W6</f>
        <v/>
      </c>
      <c r="X5" s="10">
        <f>IF(X2="单",$K$1,IF(X2="双",$K$2,0))-X3-X6</f>
        <v/>
      </c>
      <c r="Y5" s="10">
        <f>IF(Y2="单",$K$1,IF(Y2="双",$K$2,0))-Y3-Y6</f>
        <v/>
      </c>
      <c r="Z5" s="10">
        <f>IF(Z2="单",$K$1,IF(Z2="双",$K$2,0))-Z3-Z6</f>
        <v/>
      </c>
      <c r="AA5" s="10">
        <f>IF(AA2="单",$K$1,IF(AA2="双",$K$2,0))-AA3-AA6</f>
        <v/>
      </c>
      <c r="AB5" s="10">
        <f>IF(AB2="单",$K$1,IF(AB2="双",$K$2,0))-AB3-AB6</f>
        <v/>
      </c>
      <c r="AC5" s="10">
        <f>IF(AC2="单",$K$1,IF(AC2="双",$K$2,0))-AC3-AC6</f>
        <v/>
      </c>
      <c r="AD5" s="10">
        <f>IF(AD2="单",$K$1,IF(AD2="双",$K$2,0))-AD3-AD6</f>
        <v/>
      </c>
      <c r="AE5" s="10">
        <f>IF(AE2="单",$K$1,IF(AE2="双",$K$2,0))-AE3-AE6</f>
        <v/>
      </c>
      <c r="AF5" s="10">
        <f>IF(AF2="单",$K$1,IF(AF2="双",$K$2,0))-AF3-AF6</f>
        <v/>
      </c>
      <c r="AG5" s="10">
        <f>IF(AG2="单",$K$1,IF(AG2="双",$K$2,0))-AG3-AG6</f>
        <v/>
      </c>
      <c r="AH5" s="10">
        <f>IF(AH2="单",$K$1,IF(AH2="双",$K$2,0))-AH3-AH6</f>
        <v/>
      </c>
      <c r="AI5" s="10">
        <f>IF(AI2="单",$K$1,IF(AI2="双",$K$2,0))-AI3-AI6</f>
        <v/>
      </c>
      <c r="AJ5" s="10">
        <f>IF(AJ2="单",$K$1,IF(AJ2="双",$K$2,0))-AJ3-AJ6</f>
        <v/>
      </c>
      <c r="AK5" s="10">
        <f>IF(AK2="单",$K$1,IF(AK2="双",$K$2,0))-AK3-AK6</f>
        <v/>
      </c>
      <c r="AL5" s="10">
        <f>IF(AL2="单",$K$1,IF(AL2="双",$K$2,0))-AL3-AL6</f>
        <v/>
      </c>
      <c r="AM5" s="10">
        <f>IF(AM2="单",$K$1,IF(AM2="双",$K$2,0))-AM3-AM6</f>
        <v/>
      </c>
      <c r="AN5" s="10">
        <f>IF(AN2="单",$K$1,IF(AN2="双",$K$2,0))-AN3-AN6</f>
        <v/>
      </c>
      <c r="AO5" s="10">
        <f>IF(AO2="单",$K$1,IF(AO2="双",$K$2,0))-AO3-AO6</f>
        <v/>
      </c>
      <c r="AP5" s="10">
        <f>IF(AP2="单",$K$1,IF(AP2="双",$K$2,0))-AP3-AP6</f>
        <v/>
      </c>
      <c r="AQ5" s="10">
        <f>IF(AQ2="单",$K$1,IF(AQ2="双",$K$2,0))-AQ3-AQ6</f>
        <v/>
      </c>
      <c r="AR5" s="10">
        <f>IF(AR2="单",$K$1,IF(AR2="双",$K$2,0))-AR3-AR6</f>
        <v/>
      </c>
      <c r="AS5" s="10">
        <f>IF(AS2="单",$K$1,IF(AS2="双",$K$2,0))-AS3-AS6</f>
        <v/>
      </c>
      <c r="AT5" s="10">
        <f>IF(AT2="单",$K$1,IF(AT2="双",$K$2,0))-AT3-AT6</f>
        <v/>
      </c>
      <c r="AU5" s="10">
        <f>IF(AU2="单",$K$1,IF(AU2="双",$K$2,0))-AU3-AU6</f>
        <v/>
      </c>
      <c r="AV5" s="10">
        <f>IF(AV2="单",$K$1,IF(AV2="双",$K$2,0))-AV3-AV6</f>
        <v/>
      </c>
      <c r="AW5" s="10">
        <f>IF(AW2="单",$K$1,IF(AW2="双",$K$2,0))-AW3-AW6</f>
        <v/>
      </c>
      <c r="AX5" s="10">
        <f>IF(AX2="单",$K$1,IF(AX2="双",$K$2,0))-AX3-AX6</f>
        <v/>
      </c>
      <c r="AY5" s="10">
        <f>IF(AY2="单",$K$1,IF(AY2="双",$K$2,0))-AY3-AY6</f>
        <v/>
      </c>
      <c r="AZ5" s="10">
        <f>IF(AZ2="单",$K$1,IF(AZ2="双",$K$2,0))-AZ3-AZ6</f>
        <v/>
      </c>
      <c r="BA5" s="10">
        <f>IF(BA2="单",$K$1,IF(BA2="双",$K$2,0))-BA3-BA6</f>
        <v/>
      </c>
      <c r="BB5" s="10">
        <f>IF(BB2="单",$K$1,IF(BB2="双",$K$2,0))-BB3-BB6</f>
        <v/>
      </c>
      <c r="BC5" s="10">
        <f>IF(BC2="单",$K$1,IF(BC2="双",$K$2,0))-BC3-BC6</f>
        <v/>
      </c>
      <c r="BD5" s="10">
        <f>IF(BD2="单",$K$1,IF(BD2="双",$K$2,0))-BD3-BD6</f>
        <v/>
      </c>
      <c r="BE5" s="10">
        <f>IF(BE2="单",$K$1,IF(BE2="双",$K$2,0))-BE3-BE6</f>
        <v/>
      </c>
      <c r="BF5" s="10">
        <f>IF(BF2="单",$K$1,IF(BF2="双",$K$2,0))-BF3-BF6</f>
        <v/>
      </c>
      <c r="BG5" s="10">
        <f>IF(BG2="单",$K$1,IF(BG2="双",$K$2,0))-BG3-BG6</f>
        <v/>
      </c>
      <c r="BH5" s="10">
        <f>IF(BH2="单",$K$1,IF(BH2="双",$K$2,0))-BH3-BH6</f>
        <v/>
      </c>
      <c r="BI5" s="10">
        <f>IF(BI2="单",$K$1,IF(BI2="双",$K$2,0))-BI3-BI6</f>
        <v/>
      </c>
      <c r="BJ5" s="10">
        <f>IF(BJ2="单",$K$1,IF(BJ2="双",$K$2,0))-BJ3-BJ6</f>
        <v/>
      </c>
      <c r="BK5" s="10">
        <f>IF(BK2="单",$K$1,IF(BK2="双",$K$2,0))-BK3-BK6</f>
        <v/>
      </c>
      <c r="BL5" s="10">
        <f>IF(BL2="单",$K$1,IF(BL2="双",$K$2,0))-BL3-BL6</f>
        <v/>
      </c>
      <c r="BM5" s="10">
        <f>IF(BM2="单",$K$1,IF(BM2="双",$K$2,0))-BM3-BM6</f>
        <v/>
      </c>
      <c r="BN5" s="10">
        <f>IF(BN2="单",$K$1,IF(BN2="双",$K$2,0))-BN3-BN6</f>
        <v/>
      </c>
      <c r="BO5" s="10">
        <f>IF(BO2="单",$K$1,IF(BO2="双",$K$2,0))-BO3-BO6</f>
        <v/>
      </c>
      <c r="BP5" s="10">
        <f>IF(BP2="单",$K$1,IF(BP2="双",$K$2,0))-BP3-BP6</f>
        <v/>
      </c>
      <c r="BQ5" s="10">
        <f>IF(BQ2="单",$K$1,IF(BQ2="双",$K$2,0))-BQ3-BQ6</f>
        <v/>
      </c>
    </row>
    <row r="6" ht="15.5" customHeight="1" s="91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t="inlineStr">
        <is>
          <t>尺码</t>
        </is>
      </c>
      <c r="G6" s="97" t="inlineStr">
        <is>
          <t>规格(p*b*z)</t>
        </is>
      </c>
      <c r="H6" s="98" t="n"/>
      <c r="I6" s="111" t="inlineStr">
        <is>
          <t>下单时间</t>
        </is>
      </c>
      <c r="J6" s="112" t="inlineStr">
        <is>
          <t>最晚交货时间</t>
        </is>
      </c>
      <c r="K6" s="15" t="inlineStr">
        <is>
          <t>下单箱数</t>
        </is>
      </c>
      <c r="L6" s="16" t="inlineStr">
        <is>
          <t>下单片数</t>
        </is>
      </c>
      <c r="M6" s="17" t="inlineStr">
        <is>
          <t>剩余排产</t>
        </is>
      </c>
      <c r="N6" s="17">
        <f>SUMPRODUCT($G7:$G9964,$H7:$H9964,N$7:N$9964)</f>
        <v/>
      </c>
      <c r="O6" s="17">
        <f>SUMPRODUCT($G7:$G9964,$H7:$H9964,O$7:O$9964)</f>
        <v/>
      </c>
      <c r="P6" s="17">
        <f>SUMPRODUCT($G7:$G9964,$H7:$H9964,P$7:P$9964)</f>
        <v/>
      </c>
      <c r="Q6" s="17">
        <f>SUMPRODUCT($G7:$G9964,$H7:$H9964,Q$7:Q$9964)</f>
        <v/>
      </c>
      <c r="R6" s="17">
        <f>SUMPRODUCT($G7:$G9964,$H7:$H9964,R$7:R$9964)</f>
        <v/>
      </c>
      <c r="S6" s="17">
        <f>SUMPRODUCT($G7:$G9964,$H7:$H9964,S$7:S$9964)</f>
        <v/>
      </c>
      <c r="T6" s="17">
        <f>SUMPRODUCT($G7:$G9964,$H7:$H9964,T$7:T$9964)</f>
        <v/>
      </c>
      <c r="U6" s="17">
        <f>SUMPRODUCT($G7:$G9964,$H7:$H9964,U$7:U$9964)</f>
        <v/>
      </c>
      <c r="V6" s="17">
        <f>SUMPRODUCT($G7:$G9964,$H7:$H9964,V$7:V$9964)</f>
        <v/>
      </c>
      <c r="W6" s="17">
        <f>SUMPRODUCT($G7:$G9964,$H7:$H9964,W$7:W$9964)</f>
        <v/>
      </c>
      <c r="X6" s="17">
        <f>SUMPRODUCT($G7:$G9964,$H7:$H9964,X$7:X$9964)</f>
        <v/>
      </c>
      <c r="Y6" s="17">
        <f>SUMPRODUCT($G7:$G9964,$H7:$H9964,Y$7:Y$9964)</f>
        <v/>
      </c>
      <c r="Z6" s="17">
        <f>SUMPRODUCT($G7:$G9964,$H7:$H9964,Z$7:Z$9964)</f>
        <v/>
      </c>
      <c r="AA6" s="17">
        <f>SUMPRODUCT($G7:$G9964,$H7:$H9964,AA$7:AA$9964)</f>
        <v/>
      </c>
      <c r="AB6" s="17">
        <f>SUMPRODUCT($G7:$G9964,$H7:$H9964,AB$7:AB$9964)</f>
        <v/>
      </c>
      <c r="AC6" s="17">
        <f>SUMPRODUCT($G7:$G9964,$H7:$H9964,AC$7:AC$9964)</f>
        <v/>
      </c>
      <c r="AD6" s="17">
        <f>SUMPRODUCT($G7:$G9964,$H7:$H9964,AD$7:AD$9964)</f>
        <v/>
      </c>
      <c r="AE6" s="17">
        <f>SUMPRODUCT($G7:$G9964,$H7:$H9964,AE$7:AE$9964)</f>
        <v/>
      </c>
      <c r="AF6" s="17">
        <f>SUMPRODUCT($G7:$G9964,$H7:$H9964,AF$7:AF$9964)</f>
        <v/>
      </c>
      <c r="AG6" s="17">
        <f>SUMPRODUCT($G7:$G9964,$H7:$H9964,AG$7:AG$9964)</f>
        <v/>
      </c>
      <c r="AH6" s="17">
        <f>SUMPRODUCT($G7:$G9964,$H7:$H9964,AH$7:AH$9964)</f>
        <v/>
      </c>
      <c r="AI6" s="17">
        <f>SUMPRODUCT($G7:$G9964,$H7:$H9964,AI$7:AI$9964)</f>
        <v/>
      </c>
      <c r="AJ6" s="17">
        <f>SUMPRODUCT($G7:$G9964,$H7:$H9964,AJ$7:AJ$9964)</f>
        <v/>
      </c>
      <c r="AK6" s="17">
        <f>SUMPRODUCT($G7:$G9964,$H7:$H9964,AK$7:AK$9964)</f>
        <v/>
      </c>
      <c r="AL6" s="17">
        <f>SUMPRODUCT($G7:$G9964,$H7:$H9964,AL$7:AL$9964)</f>
        <v/>
      </c>
      <c r="AM6" s="17">
        <f>SUMPRODUCT($G7:$G9964,$H7:$H9964,AM$7:AM$9964)</f>
        <v/>
      </c>
      <c r="AN6" s="17">
        <f>SUMPRODUCT($G7:$G9964,$H7:$H9964,AN$7:AN$9964)</f>
        <v/>
      </c>
      <c r="AO6" s="17">
        <f>SUMPRODUCT($G7:$G9964,$H7:$H9964,AO$7:AO$9964)</f>
        <v/>
      </c>
      <c r="AP6" s="17">
        <f>SUMPRODUCT($G7:$G9964,$H7:$H9964,AP$7:AP$9964)</f>
        <v/>
      </c>
      <c r="AQ6" s="17">
        <f>SUMPRODUCT($G7:$G9964,$H7:$H9964,AQ$7:AQ$9964)</f>
        <v/>
      </c>
      <c r="AR6" s="17">
        <f>SUMPRODUCT($G7:$G9964,$H7:$H9964,AR$7:AR$9964)</f>
        <v/>
      </c>
      <c r="AS6" s="17">
        <f>SUMPRODUCT($G7:$G9964,$H7:$H9964,AS$7:AS$9964)</f>
        <v/>
      </c>
      <c r="AT6" s="17">
        <f>SUMPRODUCT($G7:$G9964,$H7:$H9964,AT$7:AT$9964)</f>
        <v/>
      </c>
      <c r="AU6" s="17">
        <f>SUMPRODUCT($G7:$G9964,$H7:$H9964,AU$7:AU$9964)</f>
        <v/>
      </c>
      <c r="AV6" s="17">
        <f>SUMPRODUCT($G7:$G9964,$H7:$H9964,AV$7:AV$9964)</f>
        <v/>
      </c>
      <c r="AW6" s="17">
        <f>SUMPRODUCT($G7:$G9964,$H7:$H9964,AW$7:AW$9964)</f>
        <v/>
      </c>
      <c r="AX6" s="17">
        <f>SUMPRODUCT($G7:$G9964,$H7:$H9964,AX$7:AX$9964)</f>
        <v/>
      </c>
      <c r="AY6" s="17">
        <f>SUMPRODUCT($G7:$G9964,$H7:$H9964,AY$7:AY$9964)</f>
        <v/>
      </c>
      <c r="AZ6" s="17">
        <f>SUMPRODUCT($G7:$G9964,$H7:$H9964,AZ$7:AZ$9964)</f>
        <v/>
      </c>
      <c r="BA6" s="17">
        <f>SUMPRODUCT($G7:$G9964,$H7:$H9964,BA$7:BA$9964)</f>
        <v/>
      </c>
      <c r="BB6" s="17">
        <f>SUMPRODUCT($G7:$G9964,$H7:$H9964,BB$7:BB$9964)</f>
        <v/>
      </c>
      <c r="BC6" s="17">
        <f>SUMPRODUCT($G7:$G9964,$H7:$H9964,BC$7:BC$9964)</f>
        <v/>
      </c>
      <c r="BD6" s="17">
        <f>SUMPRODUCT($G7:$G9964,$H7:$H9964,BD$7:BD$9964)</f>
        <v/>
      </c>
      <c r="BE6" s="17">
        <f>SUMPRODUCT($G7:$G9964,$H7:$H9964,BE$7:BE$9964)</f>
        <v/>
      </c>
      <c r="BF6" s="17">
        <f>SUMPRODUCT($G7:$G9964,$H7:$H9964,BF$7:BF$9964)</f>
        <v/>
      </c>
      <c r="BG6" s="17">
        <f>SUMPRODUCT($G7:$G9964,$H7:$H9964,BG$7:BG$9964)</f>
        <v/>
      </c>
      <c r="BH6" s="17">
        <f>SUMPRODUCT($G7:$G9964,$H7:$H9964,BH$7:BH$9964)</f>
        <v/>
      </c>
      <c r="BI6" s="17">
        <f>SUMPRODUCT($G7:$G9964,$H7:$H9964,BI$7:BI$9964)</f>
        <v/>
      </c>
      <c r="BJ6" s="17">
        <f>SUMPRODUCT($G7:$G9964,$H7:$H9964,BJ$7:BJ$9964)</f>
        <v/>
      </c>
      <c r="BK6" s="17">
        <f>SUMPRODUCT($G7:$G9964,$H7:$H9964,BK$7:BK$9964)</f>
        <v/>
      </c>
      <c r="BL6" s="17">
        <f>SUMPRODUCT($G7:$G9964,$H7:$H9964,BL$7:BL$9964)</f>
        <v/>
      </c>
      <c r="BM6" s="17">
        <f>SUMPRODUCT($G7:$G9964,$H7:$H9964,BM$7:BM$9964)</f>
        <v/>
      </c>
      <c r="BN6" s="17">
        <f>SUMPRODUCT($G7:$G9964,$H7:$H9964,BN$7:BN$9964)</f>
        <v/>
      </c>
      <c r="BO6" s="17">
        <f>SUMPRODUCT($G7:$G9964,$H7:$H9964,BO$7:BO$9964)</f>
        <v/>
      </c>
      <c r="BP6" s="17">
        <f>SUMPRODUCT($G7:$G9964,$H7:$H9964,BP$7:BP$9964)</f>
        <v/>
      </c>
      <c r="BQ6" s="17">
        <f>SUMPRODUCT($G7:$G9964,$H7:$H9964,BQ$7:BQ$9964)</f>
        <v/>
      </c>
    </row>
    <row r="7" ht="15.5" customHeight="1" s="91">
      <c r="A7" s="26" t="inlineStr">
        <is>
          <t>1.6.16.364</t>
        </is>
      </c>
      <c r="B7" s="26" t="inlineStr">
        <is>
          <t>新品</t>
        </is>
      </c>
      <c r="C7" s="26" t="n"/>
      <c r="D7" s="19" t="inlineStr">
        <is>
          <t>WO-ZZ00020702</t>
        </is>
      </c>
      <c r="E7" s="27" t="inlineStr">
        <is>
          <t>EQ Pants Big Pack XXL 24s+2x8 2026-03-02</t>
        </is>
      </c>
      <c r="F7" t="inlineStr">
        <is>
          <t>XXL</t>
        </is>
      </c>
      <c r="G7" s="26" t="n">
        <v>26</v>
      </c>
      <c r="H7" s="26" t="n">
        <v>8</v>
      </c>
      <c r="I7" s="117" t="n"/>
      <c r="J7" s="117" t="n"/>
      <c r="K7" s="19" t="n">
        <v>2000</v>
      </c>
      <c r="L7" s="19">
        <f>J6*F6*G6</f>
        <v/>
      </c>
      <c r="M7" s="19" t="n">
        <v>0</v>
      </c>
      <c r="N7" s="28" t="n">
        <v>857</v>
      </c>
      <c r="O7" s="28" t="n">
        <v>857</v>
      </c>
      <c r="P7" s="28" t="n">
        <v>286</v>
      </c>
      <c r="Q7" s="28" t="n"/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  <c r="AA7" s="28" t="n"/>
      <c r="AB7" s="28" t="n"/>
      <c r="AC7" s="28" t="n"/>
      <c r="AD7" s="28" t="n"/>
      <c r="AE7" s="28" t="n"/>
      <c r="AF7" s="28" t="n"/>
      <c r="AG7" s="28" t="n"/>
      <c r="AH7" s="28" t="n"/>
      <c r="AI7" s="28" t="n"/>
      <c r="AJ7" s="28" t="n"/>
      <c r="AK7" s="28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  <c r="BP7" s="28" t="n"/>
      <c r="BQ7" s="28" t="n"/>
    </row>
    <row r="8" ht="15.5" customHeight="1" s="91">
      <c r="A8" s="26" t="inlineStr">
        <is>
          <t>1.6.16.364</t>
        </is>
      </c>
      <c r="B8" s="26" t="inlineStr">
        <is>
          <t>新品</t>
        </is>
      </c>
      <c r="C8" s="26" t="n"/>
      <c r="D8" s="19" t="inlineStr">
        <is>
          <t>WO-ZZ00020703</t>
        </is>
      </c>
      <c r="E8" s="27" t="inlineStr">
        <is>
          <t>EQ Pants Budget Pack XXL 10s x20 2025-12-16</t>
        </is>
      </c>
      <c r="F8" t="inlineStr">
        <is>
          <t>XXL</t>
        </is>
      </c>
      <c r="G8" s="26" t="n">
        <v>10</v>
      </c>
      <c r="H8" s="26" t="n">
        <v>20</v>
      </c>
      <c r="I8" s="117" t="n"/>
      <c r="J8" s="117" t="n"/>
      <c r="K8" s="19" t="n">
        <v>6000</v>
      </c>
      <c r="L8" s="19">
        <f>J7*F7*G7</f>
        <v/>
      </c>
      <c r="M8" s="19" t="n">
        <v>0</v>
      </c>
      <c r="N8" s="28" t="n"/>
      <c r="O8" s="28" t="n"/>
      <c r="P8" s="28" t="n">
        <v>594</v>
      </c>
      <c r="Q8" s="28" t="n">
        <v>891</v>
      </c>
      <c r="R8" s="28" t="n"/>
      <c r="S8" s="28" t="n">
        <v>891</v>
      </c>
      <c r="T8" s="28" t="n">
        <v>891</v>
      </c>
      <c r="U8" s="28" t="n">
        <v>891</v>
      </c>
      <c r="V8" s="28" t="n">
        <v>891</v>
      </c>
      <c r="W8" s="28" t="n">
        <v>891</v>
      </c>
      <c r="X8" s="28" t="n">
        <v>60</v>
      </c>
      <c r="Y8" s="28" t="n"/>
      <c r="Z8" s="28" t="n"/>
      <c r="AA8" s="28" t="n"/>
      <c r="AB8" s="28" t="n"/>
      <c r="AC8" s="28" t="n"/>
      <c r="AD8" s="28" t="n"/>
      <c r="AE8" s="28" t="n"/>
      <c r="AF8" s="28" t="n"/>
      <c r="AG8" s="28" t="n"/>
      <c r="AH8" s="28" t="n"/>
      <c r="AI8" s="28" t="n"/>
      <c r="AJ8" s="28" t="n"/>
      <c r="AK8" s="28" t="n"/>
      <c r="AL8" s="28" t="n"/>
      <c r="AM8" s="28" t="n"/>
      <c r="AN8" s="28" t="n"/>
      <c r="AO8" s="28" t="n"/>
      <c r="AP8" s="28" t="n"/>
      <c r="AQ8" s="28" t="n"/>
      <c r="AR8" s="28" t="n"/>
      <c r="AS8" s="28" t="n"/>
      <c r="AT8" s="28" t="n"/>
      <c r="AU8" s="28" t="n"/>
      <c r="AV8" s="28" t="n"/>
      <c r="AW8" s="28" t="n"/>
      <c r="AX8" s="28" t="n"/>
      <c r="AY8" s="28" t="n"/>
      <c r="AZ8" s="28" t="n"/>
      <c r="BA8" s="28" t="n"/>
      <c r="BB8" s="28" t="n"/>
      <c r="BC8" s="28" t="n"/>
      <c r="BD8" s="28" t="n"/>
      <c r="BE8" s="28" t="n"/>
      <c r="BF8" s="28" t="n"/>
      <c r="BG8" s="28" t="n"/>
      <c r="BH8" s="28" t="n"/>
      <c r="BI8" s="28" t="n"/>
      <c r="BJ8" s="28" t="n"/>
      <c r="BK8" s="28" t="n"/>
      <c r="BL8" s="28" t="n"/>
      <c r="BM8" s="28" t="n"/>
      <c r="BN8" s="28" t="n"/>
      <c r="BO8" s="28" t="n"/>
      <c r="BP8" s="28" t="n"/>
      <c r="BQ8" s="28" t="n"/>
    </row>
    <row r="9" ht="17" customFormat="1" customHeight="1" s="2">
      <c r="A9" s="26" t="inlineStr">
        <is>
          <t>1.6.15.369</t>
        </is>
      </c>
      <c r="B9" s="26" t="inlineStr">
        <is>
          <t>新品</t>
        </is>
      </c>
      <c r="C9" s="26" t="n"/>
      <c r="D9" s="19" t="inlineStr">
        <is>
          <t>WO-ZZ00020704</t>
        </is>
      </c>
      <c r="E9" s="27" t="inlineStr">
        <is>
          <t>EQ Pants Budget Pack XL 10s x20 2025-12-16</t>
        </is>
      </c>
      <c r="F9" t="inlineStr">
        <is>
          <t>XL</t>
        </is>
      </c>
      <c r="G9" s="26" t="n">
        <v>10</v>
      </c>
      <c r="H9" s="26" t="n">
        <v>20</v>
      </c>
      <c r="I9" s="117" t="n"/>
      <c r="J9" s="117" t="n"/>
      <c r="K9" s="19" t="n">
        <v>6000</v>
      </c>
      <c r="L9" s="19">
        <f>J8*F8*G8</f>
        <v/>
      </c>
      <c r="M9" s="19" t="n">
        <v>0</v>
      </c>
      <c r="N9" s="28" t="n"/>
      <c r="O9" s="28" t="n"/>
      <c r="P9" s="28" t="n"/>
      <c r="Q9" s="28" t="n"/>
      <c r="R9" s="28" t="n"/>
      <c r="S9" s="28" t="n"/>
      <c r="T9" s="28" t="n"/>
      <c r="U9" s="28" t="n"/>
      <c r="V9" s="28" t="n"/>
      <c r="W9" s="28" t="n"/>
      <c r="X9" s="28" t="n">
        <v>831</v>
      </c>
      <c r="Y9" s="28" t="n"/>
      <c r="Z9" s="28" t="n">
        <v>891</v>
      </c>
      <c r="AA9" s="28" t="n">
        <v>891</v>
      </c>
      <c r="AB9" s="28" t="n">
        <v>891</v>
      </c>
      <c r="AC9" s="28" t="n">
        <v>891</v>
      </c>
      <c r="AD9" s="28" t="n">
        <v>891</v>
      </c>
      <c r="AE9" s="28" t="n">
        <v>714</v>
      </c>
      <c r="AF9" s="28" t="n"/>
      <c r="AG9" s="28" t="n"/>
      <c r="AH9" s="28" t="n"/>
      <c r="AI9" s="28" t="n"/>
      <c r="AJ9" s="28" t="n"/>
      <c r="AK9" s="28" t="n"/>
      <c r="AL9" s="28" t="n"/>
      <c r="AM9" s="28" t="n"/>
      <c r="AN9" s="28" t="n"/>
      <c r="AO9" s="28" t="n"/>
      <c r="AP9" s="28" t="n"/>
      <c r="AQ9" s="28" t="n"/>
      <c r="AR9" s="28" t="n"/>
      <c r="AS9" s="28" t="n"/>
      <c r="AT9" s="28" t="n"/>
      <c r="AU9" s="28" t="n"/>
      <c r="AV9" s="28" t="n"/>
      <c r="AW9" s="28" t="n"/>
      <c r="AX9" s="28" t="n"/>
      <c r="AY9" s="28" t="n"/>
      <c r="AZ9" s="28" t="n"/>
      <c r="BA9" s="28" t="n"/>
      <c r="BB9" s="28" t="n"/>
      <c r="BC9" s="28" t="n"/>
      <c r="BD9" s="28" t="n"/>
      <c r="BE9" s="28" t="n"/>
      <c r="BF9" s="28" t="n"/>
      <c r="BG9" s="28" t="n"/>
      <c r="BH9" s="28" t="n"/>
      <c r="BI9" s="28" t="n"/>
      <c r="BJ9" s="28" t="n"/>
      <c r="BK9" s="28" t="n"/>
      <c r="BL9" s="28" t="n"/>
      <c r="BM9" s="28" t="n"/>
      <c r="BN9" s="28" t="n"/>
      <c r="BO9" s="28" t="n"/>
      <c r="BP9" s="28" t="n"/>
      <c r="BQ9" s="28" t="n"/>
    </row>
    <row r="10" ht="15.5" customFormat="1" customHeight="1" s="2">
      <c r="A10" s="18" t="inlineStr">
        <is>
          <t>1.6.15.372</t>
        </is>
      </c>
      <c r="B10" s="19" t="inlineStr">
        <is>
          <t>新品</t>
        </is>
      </c>
      <c r="C10" s="20" t="n"/>
      <c r="D10" s="19" t="inlineStr">
        <is>
          <t>WO-ZZ00020705</t>
        </is>
      </c>
      <c r="E10" s="21" t="inlineStr">
        <is>
          <t>EQ Pants Jumbo Pack XL (40s+6) x6 2025-12-16</t>
        </is>
      </c>
      <c r="F10" t="inlineStr">
        <is>
          <t>XL</t>
        </is>
      </c>
      <c r="G10" s="19" t="n">
        <v>46</v>
      </c>
      <c r="H10" s="19" t="n">
        <v>6</v>
      </c>
      <c r="I10" s="118" t="n"/>
      <c r="J10" s="117" t="n"/>
      <c r="K10" s="19" t="n">
        <v>5000</v>
      </c>
      <c r="L10" s="19">
        <f>F9*G9*J9</f>
        <v/>
      </c>
      <c r="M10" s="19" t="n">
        <v>0</v>
      </c>
      <c r="N10" s="24" t="n"/>
      <c r="O10" s="24" t="n"/>
      <c r="P10" s="24" t="n"/>
      <c r="Q10" s="24" t="n"/>
      <c r="R10" s="24" t="n"/>
      <c r="S10" s="24" t="n"/>
      <c r="T10" s="24" t="n"/>
      <c r="U10" s="24" t="n"/>
      <c r="V10" s="24" t="n"/>
      <c r="W10" s="24" t="n"/>
      <c r="X10" s="24" t="n"/>
      <c r="Y10" s="24" t="n"/>
      <c r="Z10" s="24" t="n"/>
      <c r="AA10" s="24" t="n"/>
      <c r="AB10" s="24" t="n"/>
      <c r="AC10" s="24" t="n"/>
      <c r="AD10" s="24" t="n"/>
      <c r="AE10" s="24" t="n">
        <v>128</v>
      </c>
      <c r="AF10" s="24" t="n"/>
      <c r="AG10" s="24" t="n">
        <v>646</v>
      </c>
      <c r="AH10" s="24" t="n">
        <v>646</v>
      </c>
      <c r="AI10" s="24" t="n">
        <v>646</v>
      </c>
      <c r="AJ10" s="24" t="n">
        <v>646</v>
      </c>
      <c r="AK10" s="24" t="n">
        <v>646</v>
      </c>
      <c r="AL10" s="24" t="n">
        <v>646</v>
      </c>
      <c r="AM10" s="24" t="n"/>
      <c r="AN10" s="24" t="n">
        <v>646</v>
      </c>
      <c r="AO10" s="24" t="n">
        <v>350</v>
      </c>
      <c r="AP10" s="24" t="n"/>
      <c r="AQ10" s="24" t="n"/>
      <c r="AR10" s="24" t="n"/>
      <c r="AS10" s="24" t="n"/>
      <c r="AT10" s="24" t="n"/>
      <c r="AU10" s="24" t="n"/>
      <c r="AV10" s="24" t="n"/>
      <c r="AW10" s="24" t="n"/>
      <c r="AX10" s="24" t="n"/>
      <c r="AY10" s="24" t="n"/>
      <c r="AZ10" s="24" t="n"/>
      <c r="BA10" s="24" t="n"/>
      <c r="BB10" s="24" t="n"/>
      <c r="BC10" s="24" t="n"/>
      <c r="BD10" s="24" t="n"/>
      <c r="BE10" s="24" t="n"/>
      <c r="BF10" s="24" t="n"/>
      <c r="BG10" s="24" t="n"/>
      <c r="BH10" s="24" t="n"/>
      <c r="BI10" s="24" t="n"/>
      <c r="BJ10" s="24" t="n"/>
      <c r="BK10" s="24" t="n"/>
      <c r="BL10" s="24" t="n"/>
      <c r="BM10" s="24" t="n"/>
      <c r="BN10" s="24" t="n"/>
      <c r="BO10" s="24" t="n"/>
      <c r="BP10" s="24" t="n"/>
      <c r="BQ10" s="24" t="n"/>
    </row>
    <row r="11" ht="17" customHeight="1" s="91">
      <c r="A11" s="18" t="inlineStr">
        <is>
          <t>1.6.15.372</t>
        </is>
      </c>
      <c r="B11" s="19" t="n"/>
      <c r="C11" s="20" t="n"/>
      <c r="D11" s="19" t="n"/>
      <c r="E11" s="21" t="inlineStr">
        <is>
          <t>EQ Pants Jumbo Pack XL (40s+6) x6 2025-12-16</t>
        </is>
      </c>
      <c r="F11" t="inlineStr">
        <is>
          <t>XL</t>
        </is>
      </c>
      <c r="G11" s="19" t="n">
        <v>46</v>
      </c>
      <c r="H11" s="19" t="n">
        <v>6</v>
      </c>
      <c r="I11" s="118" t="n"/>
      <c r="J11" s="117" t="n"/>
      <c r="K11" s="19" t="n">
        <v>11000</v>
      </c>
      <c r="L11" s="19">
        <f>F10*G10*J10</f>
        <v/>
      </c>
      <c r="M11" s="19" t="n">
        <v>0</v>
      </c>
      <c r="N11" s="24" t="n"/>
      <c r="O11" s="24" t="n"/>
      <c r="P11" s="24" t="n"/>
      <c r="Q11" s="24" t="n"/>
      <c r="R11" s="24" t="n"/>
      <c r="S11" s="24" t="n"/>
      <c r="T11" s="24" t="n"/>
      <c r="U11" s="24" t="n"/>
      <c r="V11" s="24" t="n"/>
      <c r="W11" s="24" t="n"/>
      <c r="X11" s="24" t="n"/>
      <c r="Y11" s="24" t="n"/>
      <c r="Z11" s="24" t="n"/>
      <c r="AA11" s="24" t="n"/>
      <c r="AB11" s="24" t="n"/>
      <c r="AC11" s="24" t="n"/>
      <c r="AD11" s="24" t="n"/>
      <c r="AE11" s="24" t="n"/>
      <c r="AF11" s="24" t="n"/>
      <c r="AG11" s="24" t="n"/>
      <c r="AH11" s="24" t="n"/>
      <c r="AI11" s="24" t="n"/>
      <c r="AJ11" s="24" t="n"/>
      <c r="AK11" s="24" t="n"/>
      <c r="AL11" s="24" t="n"/>
      <c r="AM11" s="24" t="n"/>
      <c r="AN11" s="24" t="n"/>
      <c r="AO11" s="24" t="n">
        <v>296</v>
      </c>
      <c r="AP11" s="24" t="n">
        <v>646</v>
      </c>
      <c r="AQ11" s="24" t="n">
        <v>646</v>
      </c>
      <c r="AR11" s="24" t="n">
        <v>646</v>
      </c>
      <c r="AS11" s="24" t="n">
        <v>646</v>
      </c>
      <c r="AT11" s="24" t="n"/>
      <c r="AU11" s="24" t="n">
        <v>646</v>
      </c>
      <c r="AV11" s="24" t="n">
        <v>646</v>
      </c>
      <c r="AW11" s="24" t="n">
        <v>646</v>
      </c>
      <c r="AX11" s="24" t="n">
        <v>646</v>
      </c>
      <c r="AY11" s="24" t="n">
        <v>646</v>
      </c>
      <c r="AZ11" s="24" t="n">
        <v>646</v>
      </c>
      <c r="BA11" s="24" t="n"/>
      <c r="BB11" s="24" t="n">
        <v>646</v>
      </c>
      <c r="BC11" s="24" t="n">
        <v>646</v>
      </c>
      <c r="BD11" s="24" t="n">
        <v>646</v>
      </c>
      <c r="BE11" s="24" t="n">
        <v>646</v>
      </c>
      <c r="BF11" s="24" t="n">
        <v>646</v>
      </c>
      <c r="BG11" s="24" t="n">
        <v>646</v>
      </c>
      <c r="BH11" s="24" t="n"/>
      <c r="BI11" s="24" t="n">
        <v>368</v>
      </c>
      <c r="BJ11" s="24" t="n"/>
      <c r="BK11" s="24" t="n"/>
      <c r="BL11" s="24" t="n"/>
      <c r="BM11" s="24" t="n"/>
      <c r="BN11" s="24" t="n"/>
      <c r="BO11" s="24" t="n"/>
      <c r="BP11" s="24" t="n"/>
      <c r="BQ11" s="24" t="n"/>
    </row>
  </sheetData>
  <mergeCells count="3">
    <mergeCell ref="A1:H4"/>
    <mergeCell ref="I3:J4"/>
    <mergeCell ref="F5:G5"/>
  </mergeCells>
  <conditionalFormatting sqref="D10">
    <cfRule type="cellIs" priority="2" operator="equal" dxfId="0" stopIfTrue="1">
      <formula>"C-B&gt;30"</formula>
    </cfRule>
    <cfRule type="cellIs" priority="1" operator="equal" dxfId="1" stopIfTrue="1">
      <formula>"C-B&gt;10"</formula>
    </cfRule>
  </conditionalFormatting>
  <conditionalFormatting sqref="D6:D9">
    <cfRule type="cellIs" priority="9" operator="equal" dxfId="1" stopIfTrue="1">
      <formula>"C-B&gt;10"</formula>
    </cfRule>
    <cfRule type="cellIs" priority="10" operator="equal" dxfId="0" stopIfTrue="1">
      <formula>"C-B&gt;30"</formula>
    </cfRule>
  </conditionalFormatting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  <pageSetup orientation="portrait" paperSize="9"/>
</worksheet>
</file>

<file path=xl/worksheets/sheet15.xml><?xml version="1.0" encoding="utf-8"?>
<worksheet xmlns="http://schemas.openxmlformats.org/spreadsheetml/2006/main">
  <sheetPr codeName="Sheet12">
    <outlinePr summaryBelow="1" summaryRight="1"/>
    <pageSetUpPr/>
  </sheetPr>
  <dimension ref="A1:BQ12"/>
  <sheetViews>
    <sheetView showGridLines="0" zoomScale="85" zoomScaleNormal="85" workbookViewId="0">
      <pane xSplit="12" ySplit="5" topLeftCell="M6" activePane="bottomRight" state="frozen"/>
      <selection pane="topRight" activeCell="A1" sqref="A1"/>
      <selection pane="bottomLeft" activeCell="A1" sqref="A1"/>
      <selection pane="bottomRight" activeCell="R13" sqref="R13"/>
    </sheetView>
  </sheetViews>
  <sheetFormatPr baseColWidth="10" defaultColWidth="8.83203125" defaultRowHeight="15"/>
  <cols>
    <col width="11.83203125" customWidth="1" style="91" min="1" max="1"/>
    <col width="4" customWidth="1" style="91" min="2" max="2"/>
    <col width="8" customWidth="1" style="91" min="3" max="3"/>
    <col width="19.5" customWidth="1" style="91" min="4" max="4"/>
    <col width="44" customWidth="1" style="91" min="5" max="5"/>
    <col width="8.83203125" customWidth="1" style="3" min="8" max="8"/>
    <col width="10.1640625" customWidth="1" style="3" min="9" max="9"/>
    <col width="11.83203125" customWidth="1" style="91" min="10" max="10"/>
    <col width="12.83203125" customWidth="1" style="91" min="11" max="12"/>
    <col width="9" customWidth="1" style="91" min="13" max="68"/>
  </cols>
  <sheetData>
    <row r="1" ht="16.25" customFormat="1" customHeight="1" s="101">
      <c r="A1" s="100" t="inlineStr">
        <is>
          <t>BD-6#拉拉裤</t>
        </is>
      </c>
      <c r="J1" s="4" t="inlineStr">
        <is>
          <t>单班</t>
        </is>
      </c>
      <c r="K1" s="4" t="n">
        <v>282150</v>
      </c>
      <c r="L1" s="5" t="inlineStr">
        <is>
          <t>未排产计划</t>
        </is>
      </c>
      <c r="M1" s="107" t="n"/>
    </row>
    <row r="2" ht="16.25" customFormat="1" customHeight="1" s="101">
      <c r="J2" s="4" t="inlineStr">
        <is>
          <t>双班</t>
        </is>
      </c>
      <c r="K2" s="4" t="n">
        <v>500000</v>
      </c>
      <c r="L2" s="5" t="inlineStr">
        <is>
          <t>4月排产计划</t>
        </is>
      </c>
      <c r="M2" s="108">
        <f>SUM(#REF!)</f>
        <v/>
      </c>
      <c r="N2" s="109" t="inlineStr">
        <is>
          <t>双</t>
        </is>
      </c>
      <c r="O2" s="109" t="inlineStr">
        <is>
          <t>双</t>
        </is>
      </c>
      <c r="P2" s="109" t="inlineStr">
        <is>
          <t>双</t>
        </is>
      </c>
      <c r="Q2" s="109" t="inlineStr">
        <is>
          <t>双</t>
        </is>
      </c>
      <c r="R2" s="109" t="inlineStr"/>
      <c r="S2" s="109" t="inlineStr">
        <is>
          <t>双</t>
        </is>
      </c>
      <c r="T2" s="109" t="inlineStr">
        <is>
          <t>双</t>
        </is>
      </c>
      <c r="U2" s="109" t="inlineStr">
        <is>
          <t>双</t>
        </is>
      </c>
      <c r="V2" s="109" t="inlineStr">
        <is>
          <t>双</t>
        </is>
      </c>
      <c r="W2" s="109" t="inlineStr">
        <is>
          <t>双</t>
        </is>
      </c>
      <c r="X2" s="109" t="inlineStr">
        <is>
          <t>双</t>
        </is>
      </c>
      <c r="Y2" s="109" t="inlineStr"/>
      <c r="Z2" s="109" t="inlineStr">
        <is>
          <t>双</t>
        </is>
      </c>
      <c r="AA2" s="109" t="inlineStr">
        <is>
          <t>双</t>
        </is>
      </c>
      <c r="AB2" s="109" t="inlineStr">
        <is>
          <t>双</t>
        </is>
      </c>
      <c r="AC2" s="109" t="inlineStr">
        <is>
          <t>双</t>
        </is>
      </c>
      <c r="AD2" s="109" t="inlineStr">
        <is>
          <t>双</t>
        </is>
      </c>
      <c r="AE2" s="109" t="inlineStr">
        <is>
          <t>双</t>
        </is>
      </c>
      <c r="AF2" s="109" t="inlineStr"/>
      <c r="AG2" s="109" t="inlineStr">
        <is>
          <t>双</t>
        </is>
      </c>
      <c r="AH2" s="109" t="inlineStr">
        <is>
          <t>双</t>
        </is>
      </c>
      <c r="AI2" s="109" t="inlineStr">
        <is>
          <t>双</t>
        </is>
      </c>
      <c r="AJ2" s="109" t="inlineStr">
        <is>
          <t>双</t>
        </is>
      </c>
      <c r="AK2" s="109" t="inlineStr">
        <is>
          <t>双</t>
        </is>
      </c>
      <c r="AL2" s="109" t="inlineStr">
        <is>
          <t>双</t>
        </is>
      </c>
      <c r="AM2" s="109" t="inlineStr"/>
      <c r="AN2" s="109" t="inlineStr">
        <is>
          <t>双</t>
        </is>
      </c>
      <c r="AO2" s="109" t="inlineStr">
        <is>
          <t>双</t>
        </is>
      </c>
      <c r="AP2" s="109" t="inlineStr">
        <is>
          <t>双</t>
        </is>
      </c>
      <c r="AQ2" s="109" t="inlineStr">
        <is>
          <t>双</t>
        </is>
      </c>
      <c r="AR2" s="109" t="inlineStr">
        <is>
          <t>双</t>
        </is>
      </c>
      <c r="AS2" s="109" t="inlineStr">
        <is>
          <t>双</t>
        </is>
      </c>
      <c r="AT2" s="109" t="inlineStr"/>
      <c r="AU2" s="109" t="inlineStr">
        <is>
          <t>双</t>
        </is>
      </c>
      <c r="AV2" s="109" t="inlineStr">
        <is>
          <t>双</t>
        </is>
      </c>
      <c r="AW2" s="109" t="inlineStr">
        <is>
          <t>双</t>
        </is>
      </c>
      <c r="AX2" s="109" t="inlineStr">
        <is>
          <t>双</t>
        </is>
      </c>
      <c r="AY2" s="109" t="inlineStr">
        <is>
          <t>双</t>
        </is>
      </c>
      <c r="AZ2" s="109" t="inlineStr">
        <is>
          <t>双</t>
        </is>
      </c>
      <c r="BA2" s="109" t="inlineStr"/>
      <c r="BB2" s="109" t="inlineStr">
        <is>
          <t>双</t>
        </is>
      </c>
      <c r="BC2" s="109" t="inlineStr">
        <is>
          <t>双</t>
        </is>
      </c>
      <c r="BD2" s="109" t="inlineStr">
        <is>
          <t>双</t>
        </is>
      </c>
      <c r="BE2" s="109" t="inlineStr">
        <is>
          <t>双</t>
        </is>
      </c>
      <c r="BF2" s="109" t="inlineStr">
        <is>
          <t>双</t>
        </is>
      </c>
      <c r="BG2" s="109" t="inlineStr">
        <is>
          <t>双</t>
        </is>
      </c>
      <c r="BH2" s="109" t="inlineStr"/>
      <c r="BI2" s="109" t="inlineStr">
        <is>
          <t>双</t>
        </is>
      </c>
      <c r="BJ2" s="109" t="inlineStr">
        <is>
          <t>双</t>
        </is>
      </c>
      <c r="BK2" s="109" t="inlineStr">
        <is>
          <t>双</t>
        </is>
      </c>
      <c r="BL2" s="109" t="inlineStr">
        <is>
          <t>双</t>
        </is>
      </c>
      <c r="BM2" s="109" t="inlineStr">
        <is>
          <t>双</t>
        </is>
      </c>
      <c r="BN2" s="109" t="inlineStr">
        <is>
          <t>双</t>
        </is>
      </c>
      <c r="BO2" s="109" t="inlineStr">
        <is>
          <t>双</t>
        </is>
      </c>
      <c r="BP2" s="109" t="inlineStr">
        <is>
          <t>双</t>
        </is>
      </c>
      <c r="BQ2" s="109" t="inlineStr">
        <is>
          <t>双</t>
        </is>
      </c>
    </row>
    <row r="3" ht="17" customFormat="1" customHeight="1" s="101">
      <c r="J3" s="102" t="n"/>
      <c r="K3" s="103" t="n"/>
      <c r="N3" s="0">
        <f>MAX(0,ROWS(UNIQUE(FILTER($F7:$F12,(N7:N12&gt;0)*($F7:$F12&lt;&gt;""))))-1)*IF(N2="双",VLOOKUP($A$1,'换码设置'!$A:$C,2,FALSE),IF(N2="单",VLOOKUP($A$1,'换码设置'!$A:$C,3,FALSE),0))</f>
        <v/>
      </c>
      <c r="O3" s="0">
        <f>MAX(0,ROWS(UNIQUE(FILTER($F7:$F12,(O7:O12&gt;0)*($F7:$F12&lt;&gt;""))))-1)*IF(O2="双",VLOOKUP($A$1,'换码设置'!$A:$C,2,FALSE),IF(O2="单",VLOOKUP($A$1,'换码设置'!$A:$C,3,FALSE),0))</f>
        <v/>
      </c>
      <c r="P3" s="0">
        <f>MAX(0,ROWS(UNIQUE(FILTER($F7:$F12,(P7:P12&gt;0)*($F7:$F12&lt;&gt;""))))-1)*IF(P2="双",VLOOKUP($A$1,'换码设置'!$A:$C,2,FALSE),IF(P2="单",VLOOKUP($A$1,'换码设置'!$A:$C,3,FALSE),0))</f>
        <v/>
      </c>
      <c r="Q3" s="0">
        <f>MAX(0,ROWS(UNIQUE(FILTER($F7:$F12,(Q7:Q12&gt;0)*($F7:$F12&lt;&gt;""))))-1)*IF(Q2="双",VLOOKUP($A$1,'换码设置'!$A:$C,2,FALSE),IF(Q2="单",VLOOKUP($A$1,'换码设置'!$A:$C,3,FALSE),0))</f>
        <v/>
      </c>
      <c r="R3" s="0">
        <f>MAX(0,ROWS(UNIQUE(FILTER($F7:$F12,(R7:R12&gt;0)*($F7:$F12&lt;&gt;""))))-1)*IF(R2="双",VLOOKUP($A$1,'换码设置'!$A:$C,2,FALSE),IF(R2="单",VLOOKUP($A$1,'换码设置'!$A:$C,3,FALSE),0))</f>
        <v/>
      </c>
      <c r="S3" s="0">
        <f>MAX(0,ROWS(UNIQUE(FILTER($F7:$F12,(S7:S12&gt;0)*($F7:$F12&lt;&gt;""))))-1)*IF(S2="双",VLOOKUP($A$1,'换码设置'!$A:$C,2,FALSE),IF(S2="单",VLOOKUP($A$1,'换码设置'!$A:$C,3,FALSE),0))</f>
        <v/>
      </c>
      <c r="T3" s="0">
        <f>MAX(0,ROWS(UNIQUE(FILTER($F7:$F12,(T7:T12&gt;0)*($F7:$F12&lt;&gt;""))))-1)*IF(T2="双",VLOOKUP($A$1,'换码设置'!$A:$C,2,FALSE),IF(T2="单",VLOOKUP($A$1,'换码设置'!$A:$C,3,FALSE),0))</f>
        <v/>
      </c>
      <c r="U3" s="0">
        <f>MAX(0,ROWS(UNIQUE(FILTER($F7:$F12,(U7:U12&gt;0)*($F7:$F12&lt;&gt;""))))-1)*IF(U2="双",VLOOKUP($A$1,'换码设置'!$A:$C,2,FALSE),IF(U2="单",VLOOKUP($A$1,'换码设置'!$A:$C,3,FALSE),0))</f>
        <v/>
      </c>
      <c r="V3" s="0">
        <f>MAX(0,ROWS(UNIQUE(FILTER($F7:$F12,(V7:V12&gt;0)*($F7:$F12&lt;&gt;""))))-1)*IF(V2="双",VLOOKUP($A$1,'换码设置'!$A:$C,2,FALSE),IF(V2="单",VLOOKUP($A$1,'换码设置'!$A:$C,3,FALSE),0))</f>
        <v/>
      </c>
      <c r="W3" s="0">
        <f>MAX(0,ROWS(UNIQUE(FILTER($F7:$F12,(W7:W12&gt;0)*($F7:$F12&lt;&gt;""))))-1)*IF(W2="双",VLOOKUP($A$1,'换码设置'!$A:$C,2,FALSE),IF(W2="单",VLOOKUP($A$1,'换码设置'!$A:$C,3,FALSE),0))</f>
        <v/>
      </c>
      <c r="X3" s="0">
        <f>MAX(0,ROWS(UNIQUE(FILTER($F7:$F12,(X7:X12&gt;0)*($F7:$F12&lt;&gt;""))))-1)*IF(X2="双",VLOOKUP($A$1,'换码设置'!$A:$C,2,FALSE),IF(X2="单",VLOOKUP($A$1,'换码设置'!$A:$C,3,FALSE),0))</f>
        <v/>
      </c>
      <c r="Y3" s="0">
        <f>MAX(0,ROWS(UNIQUE(FILTER($F7:$F12,(Y7:Y12&gt;0)*($F7:$F12&lt;&gt;""))))-1)*IF(Y2="双",VLOOKUP($A$1,'换码设置'!$A:$C,2,FALSE),IF(Y2="单",VLOOKUP($A$1,'换码设置'!$A:$C,3,FALSE),0))</f>
        <v/>
      </c>
      <c r="Z3" s="0">
        <f>MAX(0,ROWS(UNIQUE(FILTER($F7:$F12,(Z7:Z12&gt;0)*($F7:$F12&lt;&gt;""))))-1)*IF(Z2="双",VLOOKUP($A$1,'换码设置'!$A:$C,2,FALSE),IF(Z2="单",VLOOKUP($A$1,'换码设置'!$A:$C,3,FALSE),0))</f>
        <v/>
      </c>
      <c r="AA3" s="0">
        <f>MAX(0,ROWS(UNIQUE(FILTER($F7:$F12,(AA7:AA12&gt;0)*($F7:$F12&lt;&gt;""))))-1)*IF(AA2="双",VLOOKUP($A$1,'换码设置'!$A:$C,2,FALSE),IF(AA2="单",VLOOKUP($A$1,'换码设置'!$A:$C,3,FALSE),0))</f>
        <v/>
      </c>
      <c r="AB3" s="0">
        <f>MAX(0,ROWS(UNIQUE(FILTER($F7:$F12,(AB7:AB12&gt;0)*($F7:$F12&lt;&gt;""))))-1)*IF(AB2="双",VLOOKUP($A$1,'换码设置'!$A:$C,2,FALSE),IF(AB2="单",VLOOKUP($A$1,'换码设置'!$A:$C,3,FALSE),0))</f>
        <v/>
      </c>
      <c r="AC3" s="0">
        <f>MAX(0,ROWS(UNIQUE(FILTER($F7:$F12,(AC7:AC12&gt;0)*($F7:$F12&lt;&gt;""))))-1)*IF(AC2="双",VLOOKUP($A$1,'换码设置'!$A:$C,2,FALSE),IF(AC2="单",VLOOKUP($A$1,'换码设置'!$A:$C,3,FALSE),0))</f>
        <v/>
      </c>
      <c r="AD3" s="0">
        <f>MAX(0,ROWS(UNIQUE(FILTER($F7:$F12,(AD7:AD12&gt;0)*($F7:$F12&lt;&gt;""))))-1)*IF(AD2="双",VLOOKUP($A$1,'换码设置'!$A:$C,2,FALSE),IF(AD2="单",VLOOKUP($A$1,'换码设置'!$A:$C,3,FALSE),0))</f>
        <v/>
      </c>
      <c r="AE3" s="0">
        <f>MAX(0,ROWS(UNIQUE(FILTER($F7:$F12,(AE7:AE12&gt;0)*($F7:$F12&lt;&gt;""))))-1)*IF(AE2="双",VLOOKUP($A$1,'换码设置'!$A:$C,2,FALSE),IF(AE2="单",VLOOKUP($A$1,'换码设置'!$A:$C,3,FALSE),0))</f>
        <v/>
      </c>
      <c r="AF3" s="0">
        <f>MAX(0,ROWS(UNIQUE(FILTER($F7:$F12,(AF7:AF12&gt;0)*($F7:$F12&lt;&gt;""))))-1)*IF(AF2="双",VLOOKUP($A$1,'换码设置'!$A:$C,2,FALSE),IF(AF2="单",VLOOKUP($A$1,'换码设置'!$A:$C,3,FALSE),0))</f>
        <v/>
      </c>
      <c r="AG3" s="0">
        <f>MAX(0,ROWS(UNIQUE(FILTER($F7:$F12,(AG7:AG12&gt;0)*($F7:$F12&lt;&gt;""))))-1)*IF(AG2="双",VLOOKUP($A$1,'换码设置'!$A:$C,2,FALSE),IF(AG2="单",VLOOKUP($A$1,'换码设置'!$A:$C,3,FALSE),0))</f>
        <v/>
      </c>
      <c r="AH3" s="0">
        <f>MAX(0,ROWS(UNIQUE(FILTER($F7:$F12,(AH7:AH12&gt;0)*($F7:$F12&lt;&gt;""))))-1)*IF(AH2="双",VLOOKUP($A$1,'换码设置'!$A:$C,2,FALSE),IF(AH2="单",VLOOKUP($A$1,'换码设置'!$A:$C,3,FALSE),0))</f>
        <v/>
      </c>
      <c r="AI3" s="0">
        <f>MAX(0,ROWS(UNIQUE(FILTER($F7:$F12,(AI7:AI12&gt;0)*($F7:$F12&lt;&gt;""))))-1)*IF(AI2="双",VLOOKUP($A$1,'换码设置'!$A:$C,2,FALSE),IF(AI2="单",VLOOKUP($A$1,'换码设置'!$A:$C,3,FALSE),0))</f>
        <v/>
      </c>
      <c r="AJ3" s="0">
        <f>MAX(0,ROWS(UNIQUE(FILTER($F7:$F12,(AJ7:AJ12&gt;0)*($F7:$F12&lt;&gt;""))))-1)*IF(AJ2="双",VLOOKUP($A$1,'换码设置'!$A:$C,2,FALSE),IF(AJ2="单",VLOOKUP($A$1,'换码设置'!$A:$C,3,FALSE),0))</f>
        <v/>
      </c>
      <c r="AK3" s="0">
        <f>MAX(0,ROWS(UNIQUE(FILTER($F7:$F12,(AK7:AK12&gt;0)*($F7:$F12&lt;&gt;""))))-1)*IF(AK2="双",VLOOKUP($A$1,'换码设置'!$A:$C,2,FALSE),IF(AK2="单",VLOOKUP($A$1,'换码设置'!$A:$C,3,FALSE),0))</f>
        <v/>
      </c>
      <c r="AL3" s="0">
        <f>MAX(0,ROWS(UNIQUE(FILTER($F7:$F12,(AL7:AL12&gt;0)*($F7:$F12&lt;&gt;""))))-1)*IF(AL2="双",VLOOKUP($A$1,'换码设置'!$A:$C,2,FALSE),IF(AL2="单",VLOOKUP($A$1,'换码设置'!$A:$C,3,FALSE),0))</f>
        <v/>
      </c>
      <c r="AM3" s="0">
        <f>MAX(0,ROWS(UNIQUE(FILTER($F7:$F12,(AM7:AM12&gt;0)*($F7:$F12&lt;&gt;""))))-1)*IF(AM2="双",VLOOKUP($A$1,'换码设置'!$A:$C,2,FALSE),IF(AM2="单",VLOOKUP($A$1,'换码设置'!$A:$C,3,FALSE),0))</f>
        <v/>
      </c>
      <c r="AN3" s="0">
        <f>MAX(0,ROWS(UNIQUE(FILTER($F7:$F12,(AN7:AN12&gt;0)*($F7:$F12&lt;&gt;""))))-1)*IF(AN2="双",VLOOKUP($A$1,'换码设置'!$A:$C,2,FALSE),IF(AN2="单",VLOOKUP($A$1,'换码设置'!$A:$C,3,FALSE),0))</f>
        <v/>
      </c>
      <c r="AO3" s="0">
        <f>MAX(0,ROWS(UNIQUE(FILTER($F7:$F12,(AO7:AO12&gt;0)*($F7:$F12&lt;&gt;""))))-1)*IF(AO2="双",VLOOKUP($A$1,'换码设置'!$A:$C,2,FALSE),IF(AO2="单",VLOOKUP($A$1,'换码设置'!$A:$C,3,FALSE),0))</f>
        <v/>
      </c>
      <c r="AP3" s="0">
        <f>MAX(0,ROWS(UNIQUE(FILTER($F7:$F12,(AP7:AP12&gt;0)*($F7:$F12&lt;&gt;""))))-1)*IF(AP2="双",VLOOKUP($A$1,'换码设置'!$A:$C,2,FALSE),IF(AP2="单",VLOOKUP($A$1,'换码设置'!$A:$C,3,FALSE),0))</f>
        <v/>
      </c>
      <c r="AQ3" s="0">
        <f>MAX(0,ROWS(UNIQUE(FILTER($F7:$F12,(AQ7:AQ12&gt;0)*($F7:$F12&lt;&gt;""))))-1)*IF(AQ2="双",VLOOKUP($A$1,'换码设置'!$A:$C,2,FALSE),IF(AQ2="单",VLOOKUP($A$1,'换码设置'!$A:$C,3,FALSE),0))</f>
        <v/>
      </c>
      <c r="AR3" s="0">
        <f>MAX(0,ROWS(UNIQUE(FILTER($F7:$F12,(AR7:AR12&gt;0)*($F7:$F12&lt;&gt;""))))-1)*IF(AR2="双",VLOOKUP($A$1,'换码设置'!$A:$C,2,FALSE),IF(AR2="单",VLOOKUP($A$1,'换码设置'!$A:$C,3,FALSE),0))</f>
        <v/>
      </c>
      <c r="AS3" s="0">
        <f>MAX(0,ROWS(UNIQUE(FILTER($F7:$F12,(AS7:AS12&gt;0)*($F7:$F12&lt;&gt;""))))-1)*IF(AS2="双",VLOOKUP($A$1,'换码设置'!$A:$C,2,FALSE),IF(AS2="单",VLOOKUP($A$1,'换码设置'!$A:$C,3,FALSE),0))</f>
        <v/>
      </c>
      <c r="AT3" s="0">
        <f>MAX(0,ROWS(UNIQUE(FILTER($F7:$F12,(AT7:AT12&gt;0)*($F7:$F12&lt;&gt;""))))-1)*IF(AT2="双",VLOOKUP($A$1,'换码设置'!$A:$C,2,FALSE),IF(AT2="单",VLOOKUP($A$1,'换码设置'!$A:$C,3,FALSE),0))</f>
        <v/>
      </c>
      <c r="AU3" s="0">
        <f>MAX(0,ROWS(UNIQUE(FILTER($F7:$F12,(AU7:AU12&gt;0)*($F7:$F12&lt;&gt;""))))-1)*IF(AU2="双",VLOOKUP($A$1,'换码设置'!$A:$C,2,FALSE),IF(AU2="单",VLOOKUP($A$1,'换码设置'!$A:$C,3,FALSE),0))</f>
        <v/>
      </c>
      <c r="AV3" s="0">
        <f>MAX(0,ROWS(UNIQUE(FILTER($F7:$F12,(AV7:AV12&gt;0)*($F7:$F12&lt;&gt;""))))-1)*IF(AV2="双",VLOOKUP($A$1,'换码设置'!$A:$C,2,FALSE),IF(AV2="单",VLOOKUP($A$1,'换码设置'!$A:$C,3,FALSE),0))</f>
        <v/>
      </c>
      <c r="AW3" s="0">
        <f>MAX(0,ROWS(UNIQUE(FILTER($F7:$F12,(AW7:AW12&gt;0)*($F7:$F12&lt;&gt;""))))-1)*IF(AW2="双",VLOOKUP($A$1,'换码设置'!$A:$C,2,FALSE),IF(AW2="单",VLOOKUP($A$1,'换码设置'!$A:$C,3,FALSE),0))</f>
        <v/>
      </c>
      <c r="AX3" s="0">
        <f>MAX(0,ROWS(UNIQUE(FILTER($F7:$F12,(AX7:AX12&gt;0)*($F7:$F12&lt;&gt;""))))-1)*IF(AX2="双",VLOOKUP($A$1,'换码设置'!$A:$C,2,FALSE),IF(AX2="单",VLOOKUP($A$1,'换码设置'!$A:$C,3,FALSE),0))</f>
        <v/>
      </c>
      <c r="AY3" s="0">
        <f>MAX(0,ROWS(UNIQUE(FILTER($F7:$F12,(AY7:AY12&gt;0)*($F7:$F12&lt;&gt;""))))-1)*IF(AY2="双",VLOOKUP($A$1,'换码设置'!$A:$C,2,FALSE),IF(AY2="单",VLOOKUP($A$1,'换码设置'!$A:$C,3,FALSE),0))</f>
        <v/>
      </c>
      <c r="AZ3" s="0">
        <f>MAX(0,ROWS(UNIQUE(FILTER($F7:$F12,(AZ7:AZ12&gt;0)*($F7:$F12&lt;&gt;""))))-1)*IF(AZ2="双",VLOOKUP($A$1,'换码设置'!$A:$C,2,FALSE),IF(AZ2="单",VLOOKUP($A$1,'换码设置'!$A:$C,3,FALSE),0))</f>
        <v/>
      </c>
      <c r="BA3" s="0">
        <f>MAX(0,ROWS(UNIQUE(FILTER($F7:$F12,(BA7:BA12&gt;0)*($F7:$F12&lt;&gt;""))))-1)*IF(BA2="双",VLOOKUP($A$1,'换码设置'!$A:$C,2,FALSE),IF(BA2="单",VLOOKUP($A$1,'换码设置'!$A:$C,3,FALSE),0))</f>
        <v/>
      </c>
      <c r="BB3" s="0">
        <f>MAX(0,ROWS(UNIQUE(FILTER($F7:$F12,(BB7:BB12&gt;0)*($F7:$F12&lt;&gt;""))))-1)*IF(BB2="双",VLOOKUP($A$1,'换码设置'!$A:$C,2,FALSE),IF(BB2="单",VLOOKUP($A$1,'换码设置'!$A:$C,3,FALSE),0))</f>
        <v/>
      </c>
      <c r="BC3" s="0">
        <f>MAX(0,ROWS(UNIQUE(FILTER($F7:$F12,(BC7:BC12&gt;0)*($F7:$F12&lt;&gt;""))))-1)*IF(BC2="双",VLOOKUP($A$1,'换码设置'!$A:$C,2,FALSE),IF(BC2="单",VLOOKUP($A$1,'换码设置'!$A:$C,3,FALSE),0))</f>
        <v/>
      </c>
      <c r="BD3" s="0">
        <f>MAX(0,ROWS(UNIQUE(FILTER($F7:$F12,(BD7:BD12&gt;0)*($F7:$F12&lt;&gt;""))))-1)*IF(BD2="双",VLOOKUP($A$1,'换码设置'!$A:$C,2,FALSE),IF(BD2="单",VLOOKUP($A$1,'换码设置'!$A:$C,3,FALSE),0))</f>
        <v/>
      </c>
      <c r="BE3" s="0">
        <f>MAX(0,ROWS(UNIQUE(FILTER($F7:$F12,(BE7:BE12&gt;0)*($F7:$F12&lt;&gt;""))))-1)*IF(BE2="双",VLOOKUP($A$1,'换码设置'!$A:$C,2,FALSE),IF(BE2="单",VLOOKUP($A$1,'换码设置'!$A:$C,3,FALSE),0))</f>
        <v/>
      </c>
      <c r="BF3" s="0">
        <f>MAX(0,ROWS(UNIQUE(FILTER($F7:$F12,(BF7:BF12&gt;0)*($F7:$F12&lt;&gt;""))))-1)*IF(BF2="双",VLOOKUP($A$1,'换码设置'!$A:$C,2,FALSE),IF(BF2="单",VLOOKUP($A$1,'换码设置'!$A:$C,3,FALSE),0))</f>
        <v/>
      </c>
      <c r="BG3" s="0">
        <f>MAX(0,ROWS(UNIQUE(FILTER($F7:$F12,(BG7:BG12&gt;0)*($F7:$F12&lt;&gt;""))))-1)*IF(BG2="双",VLOOKUP($A$1,'换码设置'!$A:$C,2,FALSE),IF(BG2="单",VLOOKUP($A$1,'换码设置'!$A:$C,3,FALSE),0))</f>
        <v/>
      </c>
      <c r="BH3" s="0">
        <f>MAX(0,ROWS(UNIQUE(FILTER($F7:$F12,(BH7:BH12&gt;0)*($F7:$F12&lt;&gt;""))))-1)*IF(BH2="双",VLOOKUP($A$1,'换码设置'!$A:$C,2,FALSE),IF(BH2="单",VLOOKUP($A$1,'换码设置'!$A:$C,3,FALSE),0))</f>
        <v/>
      </c>
      <c r="BI3" s="0">
        <f>MAX(0,ROWS(UNIQUE(FILTER($F7:$F12,(BI7:BI12&gt;0)*($F7:$F12&lt;&gt;""))))-1)*IF(BI2="双",VLOOKUP($A$1,'换码设置'!$A:$C,2,FALSE),IF(BI2="单",VLOOKUP($A$1,'换码设置'!$A:$C,3,FALSE),0))</f>
        <v/>
      </c>
      <c r="BJ3" s="0">
        <f>MAX(0,ROWS(UNIQUE(FILTER($F7:$F12,(BJ7:BJ12&gt;0)*($F7:$F12&lt;&gt;""))))-1)*IF(BJ2="双",VLOOKUP($A$1,'换码设置'!$A:$C,2,FALSE),IF(BJ2="单",VLOOKUP($A$1,'换码设置'!$A:$C,3,FALSE),0))</f>
        <v/>
      </c>
      <c r="BK3" s="0">
        <f>MAX(0,ROWS(UNIQUE(FILTER($F7:$F12,(BK7:BK12&gt;0)*($F7:$F12&lt;&gt;""))))-1)*IF(BK2="双",VLOOKUP($A$1,'换码设置'!$A:$C,2,FALSE),IF(BK2="单",VLOOKUP($A$1,'换码设置'!$A:$C,3,FALSE),0))</f>
        <v/>
      </c>
      <c r="BL3" s="0">
        <f>MAX(0,ROWS(UNIQUE(FILTER($F7:$F12,(BL7:BL12&gt;0)*($F7:$F12&lt;&gt;""))))-1)*IF(BL2="双",VLOOKUP($A$1,'换码设置'!$A:$C,2,FALSE),IF(BL2="单",VLOOKUP($A$1,'换码设置'!$A:$C,3,FALSE),0))</f>
        <v/>
      </c>
      <c r="BM3" s="0">
        <f>MAX(0,ROWS(UNIQUE(FILTER($F7:$F12,(BM7:BM12&gt;0)*($F7:$F12&lt;&gt;""))))-1)*IF(BM2="双",VLOOKUP($A$1,'换码设置'!$A:$C,2,FALSE),IF(BM2="单",VLOOKUP($A$1,'换码设置'!$A:$C,3,FALSE),0))</f>
        <v/>
      </c>
      <c r="BN3" s="0">
        <f>MAX(0,ROWS(UNIQUE(FILTER($F7:$F12,(BN7:BN12&gt;0)*($F7:$F12&lt;&gt;""))))-1)*IF(BN2="双",VLOOKUP($A$1,'换码设置'!$A:$C,2,FALSE),IF(BN2="单",VLOOKUP($A$1,'换码设置'!$A:$C,3,FALSE),0))</f>
        <v/>
      </c>
      <c r="BO3" s="0">
        <f>MAX(0,ROWS(UNIQUE(FILTER($F7:$F12,(BO7:BO12&gt;0)*($F7:$F12&lt;&gt;""))))-1)*IF(BO2="双",VLOOKUP($A$1,'换码设置'!$A:$C,2,FALSE),IF(BO2="单",VLOOKUP($A$1,'换码设置'!$A:$C,3,FALSE),0))</f>
        <v/>
      </c>
      <c r="BP3" s="0">
        <f>MAX(0,ROWS(UNIQUE(FILTER($F7:$F12,(BP7:BP12&gt;0)*($F7:$F12&lt;&gt;""))))-1)*IF(BP2="双",VLOOKUP($A$1,'换码设置'!$A:$C,2,FALSE),IF(BP2="单",VLOOKUP($A$1,'换码设置'!$A:$C,3,FALSE),0))</f>
        <v/>
      </c>
      <c r="BQ3" s="0">
        <f>MAX(0,ROWS(UNIQUE(FILTER($F7:$F12,(BQ7:BQ12&gt;0)*($F7:$F12&lt;&gt;""))))-1)*IF(BQ2="双",VLOOKUP($A$1,'换码设置'!$A:$C,2,FALSE),IF(BQ2="单",VLOOKUP($A$1,'换码设置'!$A:$C,3,FALSE),0))</f>
        <v/>
      </c>
    </row>
    <row r="4" ht="17" customFormat="1" customHeight="1" s="101">
      <c r="K4" s="103" t="n"/>
      <c r="L4" s="5" t="inlineStr">
        <is>
          <t>5月排产计划</t>
        </is>
      </c>
      <c r="M4" s="108">
        <f>SUM(M5:AL5)</f>
        <v/>
      </c>
      <c r="N4" s="109" t="n">
        <v>46148</v>
      </c>
      <c r="O4" s="109" t="n">
        <v>46149</v>
      </c>
      <c r="P4" s="109" t="n">
        <v>46150</v>
      </c>
      <c r="Q4" s="109" t="n">
        <v>46151</v>
      </c>
      <c r="R4" s="109" t="n">
        <v>46152</v>
      </c>
      <c r="S4" s="109" t="n">
        <v>46153</v>
      </c>
      <c r="T4" s="109" t="n">
        <v>46154</v>
      </c>
      <c r="U4" s="109" t="n">
        <v>46155</v>
      </c>
      <c r="V4" s="109" t="n">
        <v>46156</v>
      </c>
      <c r="W4" s="109" t="n">
        <v>46157</v>
      </c>
      <c r="X4" s="109" t="n">
        <v>46158</v>
      </c>
      <c r="Y4" s="109" t="n">
        <v>46159</v>
      </c>
      <c r="Z4" s="109" t="n">
        <v>46160</v>
      </c>
      <c r="AA4" s="109" t="n">
        <v>46161</v>
      </c>
      <c r="AB4" s="109" t="n">
        <v>46162</v>
      </c>
      <c r="AC4" s="109" t="n">
        <v>46163</v>
      </c>
      <c r="AD4" s="109" t="n">
        <v>46164</v>
      </c>
      <c r="AE4" s="109" t="n">
        <v>46165</v>
      </c>
      <c r="AF4" s="109" t="n">
        <v>46166</v>
      </c>
      <c r="AG4" s="109" t="n">
        <v>46167</v>
      </c>
      <c r="AH4" s="109" t="n">
        <v>46168</v>
      </c>
      <c r="AI4" s="109" t="n">
        <v>46169</v>
      </c>
      <c r="AJ4" s="109" t="n">
        <v>46170</v>
      </c>
      <c r="AK4" s="109" t="n">
        <v>46171</v>
      </c>
      <c r="AL4" s="109" t="n">
        <v>46172</v>
      </c>
      <c r="AM4" s="109" t="n">
        <v>46173</v>
      </c>
      <c r="AN4" s="109" t="n">
        <v>46174</v>
      </c>
      <c r="AO4" s="109" t="n">
        <v>46175</v>
      </c>
      <c r="AP4" s="109" t="n">
        <v>46176</v>
      </c>
      <c r="AQ4" s="109" t="n">
        <v>46177</v>
      </c>
      <c r="AR4" s="109" t="n">
        <v>46178</v>
      </c>
      <c r="AS4" s="109" t="n">
        <v>46179</v>
      </c>
      <c r="AT4" s="109" t="n">
        <v>46180</v>
      </c>
      <c r="AU4" s="109" t="n">
        <v>46181</v>
      </c>
      <c r="AV4" s="109" t="n">
        <v>46182</v>
      </c>
      <c r="AW4" s="109" t="n">
        <v>46183</v>
      </c>
      <c r="AX4" s="109" t="n">
        <v>46184</v>
      </c>
      <c r="AY4" s="109" t="n">
        <v>46185</v>
      </c>
      <c r="AZ4" s="109" t="n">
        <v>46186</v>
      </c>
      <c r="BA4" s="109" t="n">
        <v>46187</v>
      </c>
      <c r="BB4" s="109" t="n">
        <v>46188</v>
      </c>
      <c r="BC4" s="109" t="n">
        <v>46189</v>
      </c>
      <c r="BD4" s="109" t="n">
        <v>46190</v>
      </c>
      <c r="BE4" s="109" t="n">
        <v>46191</v>
      </c>
      <c r="BF4" s="109" t="n">
        <v>46192</v>
      </c>
      <c r="BG4" s="109" t="n">
        <v>46193</v>
      </c>
      <c r="BH4" s="109" t="n">
        <v>46194</v>
      </c>
      <c r="BI4" s="109" t="n">
        <v>46195</v>
      </c>
      <c r="BJ4" s="109" t="n">
        <v>46196</v>
      </c>
      <c r="BK4" s="109" t="n">
        <v>46197</v>
      </c>
      <c r="BL4" s="109" t="n">
        <v>46198</v>
      </c>
      <c r="BM4" s="109" t="n">
        <v>46199</v>
      </c>
      <c r="BN4" s="109" t="n">
        <v>46200</v>
      </c>
      <c r="BO4" s="109" t="n">
        <v>46201</v>
      </c>
      <c r="BP4" s="109" t="n">
        <v>46202</v>
      </c>
      <c r="BQ4" s="109" t="n">
        <v>46203</v>
      </c>
    </row>
    <row r="5" ht="15.5" customFormat="1" customHeight="1" s="101">
      <c r="G5" s="101" t="n"/>
      <c r="J5" s="95" t="n"/>
      <c r="K5" s="96" t="n"/>
      <c r="L5" s="5" t="inlineStr">
        <is>
          <t>目前总共订单</t>
        </is>
      </c>
      <c r="M5" s="110">
        <f>SUM(L1:L3)</f>
        <v/>
      </c>
      <c r="N5" s="10">
        <f>IF(N2="单",$K$1,IF(N2="双",$K$2,0))-N3-N6</f>
        <v/>
      </c>
      <c r="O5" s="10">
        <f>IF(O2="单",$K$1,IF(O2="双",$K$2,0))-O3-O6</f>
        <v/>
      </c>
      <c r="P5" s="10">
        <f>IF(P2="单",$K$1,IF(P2="双",$K$2,0))-P3-P6</f>
        <v/>
      </c>
      <c r="Q5" s="10">
        <f>IF(Q2="单",$K$1,IF(Q2="双",$K$2,0))-Q3-Q6</f>
        <v/>
      </c>
      <c r="R5" s="10">
        <f>IF(R2="单",$K$1,IF(R2="双",$K$2,0))-R3-R6</f>
        <v/>
      </c>
      <c r="S5" s="10">
        <f>IF(S2="单",$K$1,IF(S2="双",$K$2,0))-S3-S6</f>
        <v/>
      </c>
      <c r="T5" s="10">
        <f>IF(T2="单",$K$1,IF(T2="双",$K$2,0))-T3-T6</f>
        <v/>
      </c>
      <c r="U5" s="10">
        <f>IF(U2="单",$K$1,IF(U2="双",$K$2,0))-U3-U6</f>
        <v/>
      </c>
      <c r="V5" s="10">
        <f>IF(V2="单",$K$1,IF(V2="双",$K$2,0))-V3-V6</f>
        <v/>
      </c>
      <c r="W5" s="10">
        <f>IF(W2="单",$K$1,IF(W2="双",$K$2,0))-W3-W6</f>
        <v/>
      </c>
      <c r="X5" s="10">
        <f>IF(X2="单",$K$1,IF(X2="双",$K$2,0))-X3-X6</f>
        <v/>
      </c>
      <c r="Y5" s="10">
        <f>IF(Y2="单",$K$1,IF(Y2="双",$K$2,0))-Y3-Y6</f>
        <v/>
      </c>
      <c r="Z5" s="10">
        <f>IF(Z2="单",$K$1,IF(Z2="双",$K$2,0))-Z3-Z6</f>
        <v/>
      </c>
      <c r="AA5" s="10">
        <f>IF(AA2="单",$K$1,IF(AA2="双",$K$2,0))-AA3-AA6</f>
        <v/>
      </c>
      <c r="AB5" s="10">
        <f>IF(AB2="单",$K$1,IF(AB2="双",$K$2,0))-AB3-AB6</f>
        <v/>
      </c>
      <c r="AC5" s="10">
        <f>IF(AC2="单",$K$1,IF(AC2="双",$K$2,0))-AC3-AC6</f>
        <v/>
      </c>
      <c r="AD5" s="10">
        <f>IF(AD2="单",$K$1,IF(AD2="双",$K$2,0))-AD3-AD6</f>
        <v/>
      </c>
      <c r="AE5" s="10">
        <f>IF(AE2="单",$K$1,IF(AE2="双",$K$2,0))-AE3-AE6</f>
        <v/>
      </c>
      <c r="AF5" s="10">
        <f>IF(AF2="单",$K$1,IF(AF2="双",$K$2,0))-AF3-AF6</f>
        <v/>
      </c>
      <c r="AG5" s="10">
        <f>IF(AG2="单",$K$1,IF(AG2="双",$K$2,0))-AG3-AG6</f>
        <v/>
      </c>
      <c r="AH5" s="10">
        <f>IF(AH2="单",$K$1,IF(AH2="双",$K$2,0))-AH3-AH6</f>
        <v/>
      </c>
      <c r="AI5" s="10">
        <f>IF(AI2="单",$K$1,IF(AI2="双",$K$2,0))-AI3-AI6</f>
        <v/>
      </c>
      <c r="AJ5" s="10">
        <f>IF(AJ2="单",$K$1,IF(AJ2="双",$K$2,0))-AJ3-AJ6</f>
        <v/>
      </c>
      <c r="AK5" s="10">
        <f>IF(AK2="单",$K$1,IF(AK2="双",$K$2,0))-AK3-AK6</f>
        <v/>
      </c>
      <c r="AL5" s="10">
        <f>IF(AL2="单",$K$1,IF(AL2="双",$K$2,0))-AL3-AL6</f>
        <v/>
      </c>
      <c r="AM5" s="10">
        <f>IF(AM2="单",$K$1,IF(AM2="双",$K$2,0))-AM3-AM6</f>
        <v/>
      </c>
      <c r="AN5" s="10">
        <f>IF(AN2="单",$K$1,IF(AN2="双",$K$2,0))-AN3-AN6</f>
        <v/>
      </c>
      <c r="AO5" s="10">
        <f>IF(AO2="单",$K$1,IF(AO2="双",$K$2,0))-AO3-AO6</f>
        <v/>
      </c>
      <c r="AP5" s="10">
        <f>IF(AP2="单",$K$1,IF(AP2="双",$K$2,0))-AP3-AP6</f>
        <v/>
      </c>
      <c r="AQ5" s="10">
        <f>IF(AQ2="单",$K$1,IF(AQ2="双",$K$2,0))-AQ3-AQ6</f>
        <v/>
      </c>
      <c r="AR5" s="10">
        <f>IF(AR2="单",$K$1,IF(AR2="双",$K$2,0))-AR3-AR6</f>
        <v/>
      </c>
      <c r="AS5" s="10">
        <f>IF(AS2="单",$K$1,IF(AS2="双",$K$2,0))-AS3-AS6</f>
        <v/>
      </c>
      <c r="AT5" s="10">
        <f>IF(AT2="单",$K$1,IF(AT2="双",$K$2,0))-AT3-AT6</f>
        <v/>
      </c>
      <c r="AU5" s="10">
        <f>IF(AU2="单",$K$1,IF(AU2="双",$K$2,0))-AU3-AU6</f>
        <v/>
      </c>
      <c r="AV5" s="10">
        <f>IF(AV2="单",$K$1,IF(AV2="双",$K$2,0))-AV3-AV6</f>
        <v/>
      </c>
      <c r="AW5" s="10">
        <f>IF(AW2="单",$K$1,IF(AW2="双",$K$2,0))-AW3-AW6</f>
        <v/>
      </c>
      <c r="AX5" s="10">
        <f>IF(AX2="单",$K$1,IF(AX2="双",$K$2,0))-AX3-AX6</f>
        <v/>
      </c>
      <c r="AY5" s="10">
        <f>IF(AY2="单",$K$1,IF(AY2="双",$K$2,0))-AY3-AY6</f>
        <v/>
      </c>
      <c r="AZ5" s="10">
        <f>IF(AZ2="单",$K$1,IF(AZ2="双",$K$2,0))-AZ3-AZ6</f>
        <v/>
      </c>
      <c r="BA5" s="10">
        <f>IF(BA2="单",$K$1,IF(BA2="双",$K$2,0))-BA3-BA6</f>
        <v/>
      </c>
      <c r="BB5" s="10">
        <f>IF(BB2="单",$K$1,IF(BB2="双",$K$2,0))-BB3-BB6</f>
        <v/>
      </c>
      <c r="BC5" s="10">
        <f>IF(BC2="单",$K$1,IF(BC2="双",$K$2,0))-BC3-BC6</f>
        <v/>
      </c>
      <c r="BD5" s="10">
        <f>IF(BD2="单",$K$1,IF(BD2="双",$K$2,0))-BD3-BD6</f>
        <v/>
      </c>
      <c r="BE5" s="10">
        <f>IF(BE2="单",$K$1,IF(BE2="双",$K$2,0))-BE3-BE6</f>
        <v/>
      </c>
      <c r="BF5" s="10">
        <f>IF(BF2="单",$K$1,IF(BF2="双",$K$2,0))-BF3-BF6</f>
        <v/>
      </c>
      <c r="BG5" s="10">
        <f>IF(BG2="单",$K$1,IF(BG2="双",$K$2,0))-BG3-BG6</f>
        <v/>
      </c>
      <c r="BH5" s="10">
        <f>IF(BH2="单",$K$1,IF(BH2="双",$K$2,0))-BH3-BH6</f>
        <v/>
      </c>
      <c r="BI5" s="10">
        <f>IF(BI2="单",$K$1,IF(BI2="双",$K$2,0))-BI3-BI6</f>
        <v/>
      </c>
      <c r="BJ5" s="10">
        <f>IF(BJ2="单",$K$1,IF(BJ2="双",$K$2,0))-BJ3-BJ6</f>
        <v/>
      </c>
      <c r="BK5" s="10">
        <f>IF(BK2="单",$K$1,IF(BK2="双",$K$2,0))-BK3-BK6</f>
        <v/>
      </c>
      <c r="BL5" s="10">
        <f>IF(BL2="单",$K$1,IF(BL2="双",$K$2,0))-BL3-BL6</f>
        <v/>
      </c>
      <c r="BM5" s="10">
        <f>IF(BM2="单",$K$1,IF(BM2="双",$K$2,0))-BM3-BM6</f>
        <v/>
      </c>
      <c r="BN5" s="10">
        <f>IF(BN2="单",$K$1,IF(BN2="双",$K$2,0))-BN3-BN6</f>
        <v/>
      </c>
      <c r="BO5" s="10">
        <f>IF(BO2="单",$K$1,IF(BO2="双",$K$2,0))-BO3-BO6</f>
        <v/>
      </c>
      <c r="BP5" s="10">
        <f>IF(BP2="单",$K$1,IF(BP2="双",$K$2,0))-BP3-BP6</f>
        <v/>
      </c>
      <c r="BQ5" s="10">
        <f>IF(BQ2="单",$K$1,IF(BQ2="双",$K$2,0))-BQ3-BQ6</f>
        <v/>
      </c>
    </row>
    <row r="6" ht="15.5" customHeight="1" s="91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t="inlineStr">
        <is>
          <t>尺码</t>
        </is>
      </c>
      <c r="G6" s="97" t="inlineStr">
        <is>
          <t>规格(p*b*z)</t>
        </is>
      </c>
      <c r="H6" s="98" t="n"/>
      <c r="I6" s="111" t="inlineStr">
        <is>
          <t>下单时间</t>
        </is>
      </c>
      <c r="J6" s="112" t="inlineStr">
        <is>
          <t>最晚交货时间</t>
        </is>
      </c>
      <c r="K6" s="15" t="inlineStr">
        <is>
          <t>下单箱数</t>
        </is>
      </c>
      <c r="L6" s="16" t="inlineStr">
        <is>
          <t>下单片数</t>
        </is>
      </c>
      <c r="M6" s="17" t="inlineStr">
        <is>
          <t>剩余排产</t>
        </is>
      </c>
      <c r="N6" s="17">
        <f>SUMPRODUCT($G7:$G9964,$H7:$H9964,N$7:N$9964)</f>
        <v/>
      </c>
      <c r="O6" s="17">
        <f>SUMPRODUCT($G7:$G9964,$H7:$H9964,O$7:O$9964)</f>
        <v/>
      </c>
      <c r="P6" s="17">
        <f>SUMPRODUCT($G7:$G9964,$H7:$H9964,P$7:P$9964)</f>
        <v/>
      </c>
      <c r="Q6" s="17">
        <f>SUMPRODUCT($G7:$G9964,$H7:$H9964,Q$7:Q$9964)</f>
        <v/>
      </c>
      <c r="R6" s="17">
        <f>SUMPRODUCT($G7:$G9964,$H7:$H9964,R$7:R$9964)</f>
        <v/>
      </c>
      <c r="S6" s="17">
        <f>SUMPRODUCT($G7:$G9964,$H7:$H9964,S$7:S$9964)</f>
        <v/>
      </c>
      <c r="T6" s="17">
        <f>SUMPRODUCT($G7:$G9964,$H7:$H9964,T$7:T$9964)</f>
        <v/>
      </c>
      <c r="U6" s="17">
        <f>SUMPRODUCT($G7:$G9964,$H7:$H9964,U$7:U$9964)</f>
        <v/>
      </c>
      <c r="V6" s="17">
        <f>SUMPRODUCT($G7:$G9964,$H7:$H9964,V$7:V$9964)</f>
        <v/>
      </c>
      <c r="W6" s="17">
        <f>SUMPRODUCT($G7:$G9964,$H7:$H9964,W$7:W$9964)</f>
        <v/>
      </c>
      <c r="X6" s="17">
        <f>SUMPRODUCT($G7:$G9964,$H7:$H9964,X$7:X$9964)</f>
        <v/>
      </c>
      <c r="Y6" s="17">
        <f>SUMPRODUCT($G7:$G9964,$H7:$H9964,Y$7:Y$9964)</f>
        <v/>
      </c>
      <c r="Z6" s="17">
        <f>SUMPRODUCT($G7:$G9964,$H7:$H9964,Z$7:Z$9964)</f>
        <v/>
      </c>
      <c r="AA6" s="17">
        <f>SUMPRODUCT($G7:$G9964,$H7:$H9964,AA$7:AA$9964)</f>
        <v/>
      </c>
      <c r="AB6" s="17">
        <f>SUMPRODUCT($G7:$G9964,$H7:$H9964,AB$7:AB$9964)</f>
        <v/>
      </c>
      <c r="AC6" s="17">
        <f>SUMPRODUCT($G7:$G9964,$H7:$H9964,AC$7:AC$9964)</f>
        <v/>
      </c>
      <c r="AD6" s="17">
        <f>SUMPRODUCT($G7:$G9964,$H7:$H9964,AD$7:AD$9964)</f>
        <v/>
      </c>
      <c r="AE6" s="17">
        <f>SUMPRODUCT($G7:$G9964,$H7:$H9964,AE$7:AE$9964)</f>
        <v/>
      </c>
      <c r="AF6" s="17">
        <f>SUMPRODUCT($G7:$G9964,$H7:$H9964,AF$7:AF$9964)</f>
        <v/>
      </c>
      <c r="AG6" s="17">
        <f>SUMPRODUCT($G7:$G9964,$H7:$H9964,AG$7:AG$9964)</f>
        <v/>
      </c>
      <c r="AH6" s="17">
        <f>SUMPRODUCT($G7:$G9964,$H7:$H9964,AH$7:AH$9964)</f>
        <v/>
      </c>
      <c r="AI6" s="17">
        <f>SUMPRODUCT($G7:$G9964,$H7:$H9964,AI$7:AI$9964)</f>
        <v/>
      </c>
      <c r="AJ6" s="17">
        <f>SUMPRODUCT($G7:$G9964,$H7:$H9964,AJ$7:AJ$9964)</f>
        <v/>
      </c>
      <c r="AK6" s="17">
        <f>SUMPRODUCT($G7:$G9964,$H7:$H9964,AK$7:AK$9964)</f>
        <v/>
      </c>
      <c r="AL6" s="17">
        <f>SUMPRODUCT($G7:$G9964,$H7:$H9964,AL$7:AL$9964)</f>
        <v/>
      </c>
      <c r="AM6" s="17">
        <f>SUMPRODUCT($G7:$G9964,$H7:$H9964,AM$7:AM$9964)</f>
        <v/>
      </c>
      <c r="AN6" s="17">
        <f>SUMPRODUCT($G7:$G9964,$H7:$H9964,AN$7:AN$9964)</f>
        <v/>
      </c>
      <c r="AO6" s="17">
        <f>SUMPRODUCT($G7:$G9964,$H7:$H9964,AO$7:AO$9964)</f>
        <v/>
      </c>
      <c r="AP6" s="17">
        <f>SUMPRODUCT($G7:$G9964,$H7:$H9964,AP$7:AP$9964)</f>
        <v/>
      </c>
      <c r="AQ6" s="17">
        <f>SUMPRODUCT($G7:$G9964,$H7:$H9964,AQ$7:AQ$9964)</f>
        <v/>
      </c>
      <c r="AR6" s="17">
        <f>SUMPRODUCT($G7:$G9964,$H7:$H9964,AR$7:AR$9964)</f>
        <v/>
      </c>
      <c r="AS6" s="17">
        <f>SUMPRODUCT($G7:$G9964,$H7:$H9964,AS$7:AS$9964)</f>
        <v/>
      </c>
      <c r="AT6" s="17">
        <f>SUMPRODUCT($G7:$G9964,$H7:$H9964,AT$7:AT$9964)</f>
        <v/>
      </c>
      <c r="AU6" s="17">
        <f>SUMPRODUCT($G7:$G9964,$H7:$H9964,AU$7:AU$9964)</f>
        <v/>
      </c>
      <c r="AV6" s="17">
        <f>SUMPRODUCT($G7:$G9964,$H7:$H9964,AV$7:AV$9964)</f>
        <v/>
      </c>
      <c r="AW6" s="17">
        <f>SUMPRODUCT($G7:$G9964,$H7:$H9964,AW$7:AW$9964)</f>
        <v/>
      </c>
      <c r="AX6" s="17">
        <f>SUMPRODUCT($G7:$G9964,$H7:$H9964,AX$7:AX$9964)</f>
        <v/>
      </c>
      <c r="AY6" s="17">
        <f>SUMPRODUCT($G7:$G9964,$H7:$H9964,AY$7:AY$9964)</f>
        <v/>
      </c>
      <c r="AZ6" s="17">
        <f>SUMPRODUCT($G7:$G9964,$H7:$H9964,AZ$7:AZ$9964)</f>
        <v/>
      </c>
      <c r="BA6" s="17">
        <f>SUMPRODUCT($G7:$G9964,$H7:$H9964,BA$7:BA$9964)</f>
        <v/>
      </c>
      <c r="BB6" s="17">
        <f>SUMPRODUCT($G7:$G9964,$H7:$H9964,BB$7:BB$9964)</f>
        <v/>
      </c>
      <c r="BC6" s="17">
        <f>SUMPRODUCT($G7:$G9964,$H7:$H9964,BC$7:BC$9964)</f>
        <v/>
      </c>
      <c r="BD6" s="17">
        <f>SUMPRODUCT($G7:$G9964,$H7:$H9964,BD$7:BD$9964)</f>
        <v/>
      </c>
      <c r="BE6" s="17">
        <f>SUMPRODUCT($G7:$G9964,$H7:$H9964,BE$7:BE$9964)</f>
        <v/>
      </c>
      <c r="BF6" s="17">
        <f>SUMPRODUCT($G7:$G9964,$H7:$H9964,BF$7:BF$9964)</f>
        <v/>
      </c>
      <c r="BG6" s="17">
        <f>SUMPRODUCT($G7:$G9964,$H7:$H9964,BG$7:BG$9964)</f>
        <v/>
      </c>
      <c r="BH6" s="17">
        <f>SUMPRODUCT($G7:$G9964,$H7:$H9964,BH$7:BH$9964)</f>
        <v/>
      </c>
      <c r="BI6" s="17">
        <f>SUMPRODUCT($G7:$G9964,$H7:$H9964,BI$7:BI$9964)</f>
        <v/>
      </c>
      <c r="BJ6" s="17">
        <f>SUMPRODUCT($G7:$G9964,$H7:$H9964,BJ$7:BJ$9964)</f>
        <v/>
      </c>
      <c r="BK6" s="17">
        <f>SUMPRODUCT($G7:$G9964,$H7:$H9964,BK$7:BK$9964)</f>
        <v/>
      </c>
      <c r="BL6" s="17">
        <f>SUMPRODUCT($G7:$G9964,$H7:$H9964,BL$7:BL$9964)</f>
        <v/>
      </c>
      <c r="BM6" s="17">
        <f>SUMPRODUCT($G7:$G9964,$H7:$H9964,BM$7:BM$9964)</f>
        <v/>
      </c>
      <c r="BN6" s="17">
        <f>SUMPRODUCT($G7:$G9964,$H7:$H9964,BN$7:BN$9964)</f>
        <v/>
      </c>
      <c r="BO6" s="17">
        <f>SUMPRODUCT($G7:$G9964,$H7:$H9964,BO$7:BO$9964)</f>
        <v/>
      </c>
      <c r="BP6" s="17">
        <f>SUMPRODUCT($G7:$G9964,$H7:$H9964,BP$7:BP$9964)</f>
        <v/>
      </c>
      <c r="BQ6" s="17">
        <f>SUMPRODUCT($G7:$G9964,$H7:$H9964,BQ$7:BQ$9964)</f>
        <v/>
      </c>
    </row>
    <row r="7" ht="15.5" customHeight="1" s="91">
      <c r="A7" s="26" t="inlineStr">
        <is>
          <t>1.6.16.364</t>
        </is>
      </c>
      <c r="B7" s="26" t="inlineStr">
        <is>
          <t>新品</t>
        </is>
      </c>
      <c r="C7" s="26" t="n"/>
      <c r="D7" s="19" t="inlineStr">
        <is>
          <t>WO-ZZ00020563</t>
        </is>
      </c>
      <c r="E7" s="27" t="inlineStr">
        <is>
          <t>EQ Pants Big Pack XXL 24s+2x8 2026-03-02</t>
        </is>
      </c>
      <c r="F7" t="inlineStr">
        <is>
          <t>XXL</t>
        </is>
      </c>
      <c r="G7" s="26" t="n">
        <v>26</v>
      </c>
      <c r="H7" s="26" t="n">
        <v>8</v>
      </c>
      <c r="I7" s="117" t="n"/>
      <c r="J7" s="117" t="n"/>
      <c r="K7" s="19" t="n">
        <v>7327</v>
      </c>
      <c r="L7" s="19">
        <f>J6*F6*G6</f>
        <v/>
      </c>
      <c r="M7" s="19" t="n">
        <v>0</v>
      </c>
      <c r="N7" s="28" t="n">
        <v>2404</v>
      </c>
      <c r="O7" s="28" t="n">
        <v>2404</v>
      </c>
      <c r="P7" s="28" t="n">
        <v>2404</v>
      </c>
      <c r="Q7" s="28" t="n">
        <v>115</v>
      </c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  <c r="AA7" s="28" t="n"/>
      <c r="AB7" s="28" t="n"/>
      <c r="AC7" s="28" t="n"/>
      <c r="AD7" s="28" t="n"/>
      <c r="AE7" s="28" t="n"/>
      <c r="AF7" s="28" t="n"/>
      <c r="AG7" s="28" t="n"/>
      <c r="AH7" s="28" t="n"/>
      <c r="AI7" s="28" t="n"/>
      <c r="AJ7" s="28" t="n"/>
      <c r="AK7" s="28" t="n"/>
      <c r="AL7" s="28" t="n"/>
      <c r="AM7" s="28" t="n"/>
      <c r="AN7" s="28" t="n"/>
      <c r="AO7" s="28" t="n"/>
      <c r="AP7" s="28" t="n"/>
      <c r="AQ7" s="28" t="n"/>
      <c r="AR7" s="28" t="n"/>
      <c r="AS7" s="28" t="n"/>
      <c r="AT7" s="28" t="n"/>
      <c r="AU7" s="28" t="n"/>
      <c r="AV7" s="28" t="n"/>
      <c r="AW7" s="28" t="n"/>
      <c r="AX7" s="28" t="n"/>
      <c r="AY7" s="28" t="n"/>
      <c r="AZ7" s="28" t="n"/>
      <c r="BA7" s="28" t="n"/>
      <c r="BB7" s="28" t="n"/>
      <c r="BC7" s="28" t="n"/>
      <c r="BD7" s="28" t="n"/>
      <c r="BE7" s="28" t="n"/>
      <c r="BF7" s="28" t="n"/>
      <c r="BG7" s="28" t="n"/>
      <c r="BH7" s="28" t="n"/>
      <c r="BI7" s="28" t="n"/>
      <c r="BJ7" s="28" t="n"/>
      <c r="BK7" s="28" t="n"/>
      <c r="BL7" s="28" t="n"/>
      <c r="BM7" s="28" t="n"/>
      <c r="BN7" s="28" t="n"/>
      <c r="BO7" s="28" t="n"/>
      <c r="BP7" s="28" t="n"/>
      <c r="BQ7" s="28" t="n"/>
    </row>
    <row r="8" ht="15.5" customHeight="1" s="91">
      <c r="A8" s="26" t="inlineStr">
        <is>
          <t>1.6.16.364</t>
        </is>
      </c>
      <c r="B8" s="26" t="inlineStr">
        <is>
          <t>新品</t>
        </is>
      </c>
      <c r="C8" s="26" t="n"/>
      <c r="D8" s="19" t="inlineStr">
        <is>
          <t>WO-ZZ00020566</t>
        </is>
      </c>
      <c r="E8" s="27" t="inlineStr">
        <is>
          <t>EQ Pants Big Pack XXL 24s+2x8 2026-03-02</t>
        </is>
      </c>
      <c r="F8" t="inlineStr">
        <is>
          <t>XXL</t>
        </is>
      </c>
      <c r="G8" s="26" t="n">
        <v>26</v>
      </c>
      <c r="H8" s="26" t="n">
        <v>8</v>
      </c>
      <c r="I8" s="117" t="n"/>
      <c r="J8" s="117" t="n"/>
      <c r="K8" s="19" t="n">
        <v>4000</v>
      </c>
      <c r="L8" s="19">
        <f>J7*F7*G7</f>
        <v/>
      </c>
      <c r="M8" s="19" t="n">
        <v>0</v>
      </c>
      <c r="N8" s="28" t="n"/>
      <c r="O8" s="28" t="n"/>
      <c r="P8" s="28" t="n"/>
      <c r="Q8" s="28" t="n">
        <v>2289</v>
      </c>
      <c r="R8" s="28" t="n"/>
      <c r="S8" s="28" t="n">
        <v>1711</v>
      </c>
      <c r="T8" s="28" t="n"/>
      <c r="U8" s="28" t="n"/>
      <c r="V8" s="28" t="n"/>
      <c r="W8" s="28" t="n"/>
      <c r="X8" s="28" t="n"/>
      <c r="Y8" s="28" t="n"/>
      <c r="Z8" s="28" t="n"/>
      <c r="AA8" s="28" t="n"/>
      <c r="AB8" s="28" t="n"/>
      <c r="AC8" s="28" t="n"/>
      <c r="AD8" s="28" t="n"/>
      <c r="AE8" s="28" t="n"/>
      <c r="AF8" s="28" t="n"/>
      <c r="AG8" s="28" t="n"/>
      <c r="AH8" s="28" t="n"/>
      <c r="AI8" s="28" t="n"/>
      <c r="AJ8" s="28" t="n"/>
      <c r="AK8" s="28" t="n"/>
      <c r="AL8" s="28" t="n"/>
      <c r="AM8" s="28" t="n"/>
      <c r="AN8" s="28" t="n"/>
      <c r="AO8" s="28" t="n"/>
      <c r="AP8" s="28" t="n"/>
      <c r="AQ8" s="28" t="n"/>
      <c r="AR8" s="28" t="n"/>
      <c r="AS8" s="28" t="n"/>
      <c r="AT8" s="28" t="n"/>
      <c r="AU8" s="28" t="n"/>
      <c r="AV8" s="28" t="n"/>
      <c r="AW8" s="28" t="n"/>
      <c r="AX8" s="28" t="n"/>
      <c r="AY8" s="28" t="n"/>
      <c r="AZ8" s="28" t="n"/>
      <c r="BA8" s="28" t="n"/>
      <c r="BB8" s="28" t="n"/>
      <c r="BC8" s="28" t="n"/>
      <c r="BD8" s="28" t="n"/>
      <c r="BE8" s="28" t="n"/>
      <c r="BF8" s="28" t="n"/>
      <c r="BG8" s="28" t="n"/>
      <c r="BH8" s="28" t="n"/>
      <c r="BI8" s="28" t="n"/>
      <c r="BJ8" s="28" t="n"/>
      <c r="BK8" s="28" t="n"/>
      <c r="BL8" s="28" t="n"/>
      <c r="BM8" s="28" t="n"/>
      <c r="BN8" s="28" t="n"/>
      <c r="BO8" s="28" t="n"/>
      <c r="BP8" s="28" t="n"/>
      <c r="BQ8" s="28" t="n"/>
    </row>
    <row r="9" ht="15.5" customHeight="1" s="91">
      <c r="A9" s="26" t="inlineStr">
        <is>
          <t>1.6.16.362</t>
        </is>
      </c>
      <c r="B9" s="26" t="inlineStr">
        <is>
          <t>新品</t>
        </is>
      </c>
      <c r="C9" s="26" t="n"/>
      <c r="D9" s="19" t="inlineStr">
        <is>
          <t>WO-ZZ00020564</t>
        </is>
      </c>
      <c r="E9" s="27" t="inlineStr">
        <is>
          <t>EQ Pants Jumbo Pack XXL （40s +6） x 6 2025-12-16</t>
        </is>
      </c>
      <c r="F9" t="inlineStr">
        <is>
          <t>XXL</t>
        </is>
      </c>
      <c r="G9" s="26" t="n">
        <v>26</v>
      </c>
      <c r="H9" s="26" t="n">
        <v>8</v>
      </c>
      <c r="I9" s="117" t="n"/>
      <c r="J9" s="117" t="n"/>
      <c r="K9" s="19" t="n">
        <v>8000</v>
      </c>
      <c r="L9" s="19">
        <f>J8*F8*G8</f>
        <v/>
      </c>
      <c r="M9" s="19" t="n">
        <v>0</v>
      </c>
      <c r="N9" s="28" t="n"/>
      <c r="O9" s="28" t="n"/>
      <c r="P9" s="28" t="n"/>
      <c r="Q9" s="28" t="n"/>
      <c r="R9" s="28" t="n"/>
      <c r="S9" s="28" t="n">
        <v>693</v>
      </c>
      <c r="T9" s="28" t="n">
        <v>2404</v>
      </c>
      <c r="U9" s="28" t="n">
        <v>2404</v>
      </c>
      <c r="V9" s="28" t="n">
        <v>2404</v>
      </c>
      <c r="W9" s="28" t="n">
        <v>95</v>
      </c>
      <c r="X9" s="28" t="n"/>
      <c r="Y9" s="28" t="n"/>
      <c r="Z9" s="28" t="n"/>
      <c r="AA9" s="28" t="n"/>
      <c r="AB9" s="28" t="n"/>
      <c r="AC9" s="28" t="n"/>
      <c r="AD9" s="28" t="n"/>
      <c r="AE9" s="28" t="n"/>
      <c r="AF9" s="28" t="n"/>
      <c r="AG9" s="28" t="n"/>
      <c r="AH9" s="28" t="n"/>
      <c r="AI9" s="28" t="n"/>
      <c r="AJ9" s="28" t="n"/>
      <c r="AK9" s="28" t="n"/>
      <c r="AL9" s="28" t="n"/>
      <c r="AM9" s="28" t="n"/>
      <c r="AN9" s="28" t="n"/>
      <c r="AO9" s="28" t="n"/>
      <c r="AP9" s="28" t="n"/>
      <c r="AQ9" s="28" t="n"/>
      <c r="AR9" s="28" t="n"/>
      <c r="AS9" s="28" t="n"/>
      <c r="AT9" s="28" t="n"/>
      <c r="AU9" s="28" t="n"/>
      <c r="AV9" s="28" t="n"/>
      <c r="AW9" s="28" t="n"/>
      <c r="AX9" s="28" t="n"/>
      <c r="AY9" s="28" t="n"/>
      <c r="AZ9" s="28" t="n"/>
      <c r="BA9" s="28" t="n"/>
      <c r="BB9" s="28" t="n"/>
      <c r="BC9" s="28" t="n"/>
      <c r="BD9" s="28" t="n"/>
      <c r="BE9" s="28" t="n"/>
      <c r="BF9" s="28" t="n"/>
      <c r="BG9" s="28" t="n"/>
      <c r="BH9" s="28" t="n"/>
      <c r="BI9" s="28" t="n"/>
      <c r="BJ9" s="28" t="n"/>
      <c r="BK9" s="28" t="n"/>
      <c r="BL9" s="28" t="n"/>
      <c r="BM9" s="28" t="n"/>
      <c r="BN9" s="28" t="n"/>
      <c r="BO9" s="28" t="n"/>
      <c r="BP9" s="28" t="n"/>
      <c r="BQ9" s="28" t="n"/>
    </row>
    <row r="10" ht="16" customHeight="1" s="91">
      <c r="A10" s="26" t="inlineStr">
        <is>
          <t>1.6.16.363</t>
        </is>
      </c>
      <c r="B10" s="26" t="inlineStr">
        <is>
          <t>新品</t>
        </is>
      </c>
      <c r="C10" s="26" t="n"/>
      <c r="D10" s="19" t="inlineStr">
        <is>
          <t>WO-ZZ00020565</t>
        </is>
      </c>
      <c r="E10" s="27" t="inlineStr">
        <is>
          <t>EQ Pants Mega Pack XXL （66s+6）×4 2025-12-16</t>
        </is>
      </c>
      <c r="F10" t="inlineStr">
        <is>
          <t>XXL</t>
        </is>
      </c>
      <c r="G10" s="26" t="n">
        <v>26</v>
      </c>
      <c r="H10" s="26" t="n">
        <v>8</v>
      </c>
      <c r="I10" s="117" t="n"/>
      <c r="J10" s="117" t="n"/>
      <c r="K10" s="19" t="n">
        <v>7000</v>
      </c>
      <c r="L10" s="19">
        <f>J9*F9*G9</f>
        <v/>
      </c>
      <c r="M10" s="19" t="n">
        <v>0</v>
      </c>
      <c r="N10" s="28" t="n"/>
      <c r="O10" s="28" t="n"/>
      <c r="P10" s="28" t="n"/>
      <c r="Q10" s="28" t="n"/>
      <c r="R10" s="28" t="n"/>
      <c r="S10" s="28" t="n"/>
      <c r="T10" s="28" t="n"/>
      <c r="U10" s="28" t="n"/>
      <c r="V10" s="28" t="n"/>
      <c r="W10" s="28" t="n">
        <v>2309</v>
      </c>
      <c r="X10" s="28" t="n">
        <v>2404</v>
      </c>
      <c r="Y10" s="28" t="n"/>
      <c r="Z10" s="28" t="n">
        <v>2287</v>
      </c>
      <c r="AA10" s="28" t="n"/>
      <c r="AB10" s="28" t="n"/>
      <c r="AC10" s="28" t="n"/>
      <c r="AD10" s="28" t="n"/>
      <c r="AE10" s="28" t="n"/>
      <c r="AF10" s="28" t="n"/>
      <c r="AG10" s="28" t="n"/>
      <c r="AH10" s="28" t="n"/>
      <c r="AI10" s="28" t="n"/>
      <c r="AJ10" s="28" t="n"/>
      <c r="AK10" s="28" t="n"/>
      <c r="AL10" s="28" t="n"/>
      <c r="AM10" s="28" t="n"/>
      <c r="AN10" s="28" t="n"/>
      <c r="AO10" s="28" t="n"/>
      <c r="AP10" s="28" t="n"/>
      <c r="AQ10" s="28" t="n"/>
      <c r="AR10" s="28" t="n"/>
      <c r="AS10" s="28" t="n"/>
      <c r="AT10" s="28" t="n"/>
      <c r="AU10" s="28" t="n"/>
      <c r="AV10" s="28" t="n"/>
      <c r="AW10" s="28" t="n"/>
      <c r="AX10" s="28" t="n"/>
      <c r="AY10" s="28" t="n"/>
      <c r="AZ10" s="28" t="n"/>
      <c r="BA10" s="28" t="n"/>
      <c r="BB10" s="28" t="n"/>
      <c r="BC10" s="28" t="n"/>
      <c r="BD10" s="28" t="n"/>
      <c r="BE10" s="28" t="n"/>
      <c r="BF10" s="28" t="n"/>
      <c r="BG10" s="28" t="n"/>
      <c r="BH10" s="28" t="n"/>
      <c r="BI10" s="28" t="n"/>
      <c r="BJ10" s="28" t="n"/>
      <c r="BK10" s="28" t="n"/>
      <c r="BL10" s="28" t="n"/>
      <c r="BM10" s="28" t="n"/>
      <c r="BN10" s="28" t="n"/>
      <c r="BO10" s="28" t="n"/>
      <c r="BP10" s="28" t="n"/>
      <c r="BQ10" s="28" t="n"/>
    </row>
    <row r="11" ht="16" customHeight="1" s="91">
      <c r="A11" s="26" t="inlineStr">
        <is>
          <t>1.6.16.364</t>
        </is>
      </c>
      <c r="B11" s="26" t="inlineStr">
        <is>
          <t>新品</t>
        </is>
      </c>
      <c r="C11" s="26" t="n"/>
      <c r="D11" s="19" t="inlineStr">
        <is>
          <t>WO-ZZ00020706</t>
        </is>
      </c>
      <c r="E11" s="27" t="inlineStr">
        <is>
          <t>EQ Pants Big Pack XXL 24s+2x8 2026-03-02</t>
        </is>
      </c>
      <c r="F11" t="inlineStr">
        <is>
          <t>XXL</t>
        </is>
      </c>
      <c r="G11" s="26" t="n">
        <v>26</v>
      </c>
      <c r="H11" s="26" t="n">
        <v>8</v>
      </c>
      <c r="I11" s="117" t="n"/>
      <c r="J11" s="117" t="n"/>
      <c r="K11" s="19" t="n">
        <v>5000</v>
      </c>
      <c r="L11" s="19">
        <f>J10*F10*G10</f>
        <v/>
      </c>
      <c r="M11" s="19" t="n">
        <v>0</v>
      </c>
      <c r="N11" s="28" t="n"/>
      <c r="O11" s="28" t="n"/>
      <c r="P11" s="28" t="n"/>
      <c r="Q11" s="28" t="n"/>
      <c r="R11" s="28" t="n"/>
      <c r="S11" s="28" t="n"/>
      <c r="T11" s="28" t="n"/>
      <c r="U11" s="28" t="n"/>
      <c r="V11" s="28" t="n"/>
      <c r="W11" s="28" t="n"/>
      <c r="X11" s="28" t="n"/>
      <c r="Y11" s="28" t="n"/>
      <c r="Z11" s="28" t="n">
        <v>117</v>
      </c>
      <c r="AA11" s="28" t="n">
        <v>2404</v>
      </c>
      <c r="AB11" s="28" t="n">
        <v>2404</v>
      </c>
      <c r="AC11" s="28" t="n">
        <v>75</v>
      </c>
      <c r="AD11" s="28" t="n"/>
      <c r="AE11" s="28" t="n"/>
      <c r="AF11" s="28" t="n"/>
      <c r="AG11" s="28" t="n"/>
      <c r="AH11" s="28" t="n"/>
      <c r="AI11" s="28" t="n"/>
      <c r="AJ11" s="28" t="n"/>
      <c r="AK11" s="28" t="n"/>
      <c r="AL11" s="28" t="n"/>
      <c r="AM11" s="28" t="n"/>
      <c r="AN11" s="28" t="n"/>
      <c r="AO11" s="28" t="n"/>
      <c r="AP11" s="28" t="n"/>
      <c r="AQ11" s="28" t="n"/>
      <c r="AR11" s="28" t="n"/>
      <c r="AS11" s="28" t="n"/>
      <c r="AT11" s="28" t="n"/>
      <c r="AU11" s="28" t="n"/>
      <c r="AV11" s="28" t="n"/>
      <c r="AW11" s="28" t="n"/>
      <c r="AX11" s="28" t="n"/>
      <c r="AY11" s="28" t="n"/>
      <c r="AZ11" s="28" t="n"/>
      <c r="BA11" s="28" t="n"/>
      <c r="BB11" s="28" t="n"/>
      <c r="BC11" s="28" t="n"/>
      <c r="BD11" s="28" t="n"/>
      <c r="BE11" s="28" t="n"/>
      <c r="BF11" s="28" t="n"/>
      <c r="BG11" s="28" t="n"/>
      <c r="BH11" s="28" t="n"/>
      <c r="BI11" s="28" t="n"/>
      <c r="BJ11" s="28" t="n"/>
      <c r="BK11" s="28" t="n"/>
      <c r="BL11" s="28" t="n"/>
      <c r="BM11" s="28" t="n"/>
      <c r="BN11" s="28" t="n"/>
      <c r="BO11" s="28" t="n"/>
      <c r="BP11" s="28" t="n"/>
      <c r="BQ11" s="28" t="n"/>
    </row>
    <row r="12" ht="17" customHeight="1" s="91">
      <c r="A12" s="26" t="inlineStr">
        <is>
          <t>1.6.16.362</t>
        </is>
      </c>
      <c r="B12" s="26" t="inlineStr">
        <is>
          <t>新品</t>
        </is>
      </c>
      <c r="C12" s="26" t="n"/>
      <c r="D12" s="19" t="inlineStr">
        <is>
          <t>WO-ZZ00020707</t>
        </is>
      </c>
      <c r="E12" s="27" t="inlineStr">
        <is>
          <t>EQ Pants Jumbo Pack XXL （40s +6） x 6 2025-12-16</t>
        </is>
      </c>
      <c r="F12" t="inlineStr">
        <is>
          <t>XXL</t>
        </is>
      </c>
      <c r="G12" s="26" t="n">
        <v>26</v>
      </c>
      <c r="H12" s="26" t="n">
        <v>8</v>
      </c>
      <c r="I12" s="117" t="n"/>
      <c r="J12" s="117" t="n"/>
      <c r="K12" s="19" t="n">
        <v>5000</v>
      </c>
      <c r="L12" s="19">
        <f>J11*F11*G11</f>
        <v/>
      </c>
      <c r="M12" s="19" t="n">
        <v>0</v>
      </c>
      <c r="N12" s="28" t="n"/>
      <c r="O12" s="28" t="n"/>
      <c r="P12" s="28" t="n"/>
      <c r="Q12" s="28" t="n"/>
      <c r="R12" s="28" t="n"/>
      <c r="S12" s="28" t="n"/>
      <c r="T12" s="28" t="n"/>
      <c r="U12" s="28" t="n"/>
      <c r="V12" s="28" t="n"/>
      <c r="W12" s="28" t="n"/>
      <c r="X12" s="28" t="n"/>
      <c r="Y12" s="28" t="n"/>
      <c r="Z12" s="28" t="n"/>
      <c r="AA12" s="28" t="n"/>
      <c r="AB12" s="28" t="n"/>
      <c r="AC12" s="28" t="n">
        <v>2329</v>
      </c>
      <c r="AD12" s="28" t="n">
        <v>2404</v>
      </c>
      <c r="AE12" s="28" t="n">
        <v>267</v>
      </c>
      <c r="AF12" s="28" t="n"/>
      <c r="AG12" s="28" t="n"/>
      <c r="AH12" s="28" t="n"/>
      <c r="AI12" s="28" t="n"/>
      <c r="AJ12" s="28" t="n"/>
      <c r="AK12" s="28" t="n"/>
      <c r="AL12" s="28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8" t="n"/>
      <c r="BA12" s="28" t="n"/>
      <c r="BB12" s="28" t="n"/>
      <c r="BC12" s="28" t="n"/>
      <c r="BD12" s="28" t="n"/>
      <c r="BE12" s="28" t="n"/>
      <c r="BF12" s="28" t="n"/>
      <c r="BG12" s="28" t="n"/>
      <c r="BH12" s="28" t="n"/>
      <c r="BI12" s="28" t="n"/>
      <c r="BJ12" s="28" t="n"/>
      <c r="BK12" s="28" t="n"/>
      <c r="BL12" s="28" t="n"/>
      <c r="BM12" s="28" t="n"/>
      <c r="BN12" s="28" t="n"/>
      <c r="BO12" s="28" t="n"/>
      <c r="BP12" s="28" t="n"/>
      <c r="BQ12" s="28" t="n"/>
    </row>
  </sheetData>
  <mergeCells count="3">
    <mergeCell ref="A1:H4"/>
    <mergeCell ref="I3:J4"/>
    <mergeCell ref="F5:G5"/>
  </mergeCells>
  <conditionalFormatting sqref="D12">
    <cfRule type="cellIs" priority="63" operator="equal" dxfId="1" stopIfTrue="1">
      <formula>"C-B&gt;10"</formula>
    </cfRule>
    <cfRule type="cellIs" priority="64" operator="equal" dxfId="0" stopIfTrue="1">
      <formula>"C-B&gt;30"</formula>
    </cfRule>
  </conditionalFormatting>
  <conditionalFormatting sqref="D13">
    <cfRule type="cellIs" priority="59" operator="equal" dxfId="1" stopIfTrue="1">
      <formula>"C-B&gt;10"</formula>
    </cfRule>
    <cfRule type="cellIs" priority="62" operator="equal" dxfId="0" stopIfTrue="1">
      <formula>"C-B&gt;30"</formula>
    </cfRule>
  </conditionalFormatting>
  <conditionalFormatting sqref="D14">
    <cfRule type="cellIs" priority="58" operator="equal" dxfId="1" stopIfTrue="1">
      <formula>"C-B&gt;10"</formula>
    </cfRule>
    <cfRule type="cellIs" priority="61" operator="equal" dxfId="0" stopIfTrue="1">
      <formula>"C-B&gt;30"</formula>
    </cfRule>
  </conditionalFormatting>
  <conditionalFormatting sqref="D15">
    <cfRule type="cellIs" priority="57" operator="equal" dxfId="1" stopIfTrue="1">
      <formula>"C-B&gt;10"</formula>
    </cfRule>
    <cfRule type="cellIs" priority="60" operator="equal" dxfId="0" stopIfTrue="1">
      <formula>"C-B&gt;30"</formula>
    </cfRule>
  </conditionalFormatting>
  <conditionalFormatting sqref="D6:D9">
    <cfRule type="cellIs" priority="9" operator="equal" dxfId="1" stopIfTrue="1">
      <formula>"C-B&gt;10"</formula>
    </cfRule>
    <cfRule type="cellIs" priority="10" operator="equal" dxfId="0" stopIfTrue="1">
      <formula>"C-B&gt;30"</formula>
    </cfRule>
  </conditionalFormatting>
  <conditionalFormatting sqref="D10:D11">
    <cfRule type="cellIs" priority="2" operator="equal" dxfId="0" stopIfTrue="1">
      <formula>"C-B&gt;30"</formula>
    </cfRule>
    <cfRule type="cellIs" priority="1" operator="equal" dxfId="1" stopIfTrue="1">
      <formula>"C-B&gt;10"</formula>
    </cfRule>
  </conditionalFormatting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  <pageSetup orientation="portrait" paperSize="9"/>
</worksheet>
</file>

<file path=xl/worksheets/sheet16.xml><?xml version="1.0" encoding="utf-8"?>
<worksheet xmlns="http://schemas.openxmlformats.org/spreadsheetml/2006/main">
  <sheetPr codeName="Sheet14">
    <outlinePr summaryBelow="1" summaryRight="1"/>
    <pageSetUpPr/>
  </sheetPr>
  <dimension ref="A1:BQ17"/>
  <sheetViews>
    <sheetView showGridLines="0" zoomScale="70" zoomScaleNormal="70" workbookViewId="0">
      <pane xSplit="12" ySplit="5" topLeftCell="M6" activePane="bottomRight" state="frozen"/>
      <selection pane="topRight" activeCell="A1" sqref="A1"/>
      <selection pane="bottomLeft" activeCell="A1" sqref="A1"/>
      <selection pane="bottomRight" activeCell="R13" sqref="R13"/>
    </sheetView>
  </sheetViews>
  <sheetFormatPr baseColWidth="10" defaultColWidth="8.83203125" defaultRowHeight="15"/>
  <cols>
    <col width="11.83203125" customWidth="1" style="91" min="1" max="1"/>
    <col width="9.83203125" customWidth="1" style="91" min="2" max="2"/>
    <col width="4.83203125" customWidth="1" style="91" min="3" max="3"/>
    <col width="21.1640625" customWidth="1" style="91" min="4" max="4"/>
    <col width="48.5" customWidth="1" style="91" min="5" max="5"/>
    <col width="8.83203125" customWidth="1" style="3" min="8" max="8"/>
    <col width="10.1640625" customWidth="1" style="3" min="9" max="9"/>
    <col width="11.83203125" customWidth="1" style="91" min="10" max="10"/>
    <col width="12.83203125" customWidth="1" style="91" min="11" max="11"/>
    <col width="17" customWidth="1" style="91" min="12" max="12"/>
    <col width="9" customWidth="1" style="91" min="13" max="20"/>
    <col width="10.1640625" customWidth="1" style="91" min="21" max="23"/>
    <col width="9" customWidth="1" style="91" min="24" max="68"/>
  </cols>
  <sheetData>
    <row r="1" ht="16.25" customFormat="1" customHeight="1" s="101">
      <c r="A1" s="100" t="inlineStr">
        <is>
          <t>BD-7#拉拉裤</t>
        </is>
      </c>
      <c r="J1" s="4" t="inlineStr">
        <is>
          <t>单班</t>
        </is>
      </c>
      <c r="K1" s="4" t="n">
        <v>308550</v>
      </c>
      <c r="L1" s="5" t="inlineStr">
        <is>
          <t>未排产计划</t>
        </is>
      </c>
      <c r="M1" s="107" t="n"/>
    </row>
    <row r="2" ht="16.25" customFormat="1" customHeight="1" s="101">
      <c r="J2" s="4" t="inlineStr">
        <is>
          <t>双班</t>
        </is>
      </c>
      <c r="K2" s="4" t="n">
        <v>561000</v>
      </c>
      <c r="L2" s="5" t="inlineStr">
        <is>
          <t>4月排产计划</t>
        </is>
      </c>
      <c r="M2" s="108">
        <f>SUM(#REF!)</f>
        <v/>
      </c>
      <c r="N2" s="109" t="inlineStr">
        <is>
          <t>双</t>
        </is>
      </c>
      <c r="O2" s="109" t="inlineStr">
        <is>
          <t>双</t>
        </is>
      </c>
      <c r="P2" s="109" t="inlineStr">
        <is>
          <t>双</t>
        </is>
      </c>
      <c r="Q2" s="109" t="inlineStr">
        <is>
          <t>双</t>
        </is>
      </c>
      <c r="R2" s="109" t="inlineStr"/>
      <c r="S2" s="109" t="inlineStr">
        <is>
          <t>双</t>
        </is>
      </c>
      <c r="T2" s="109" t="inlineStr">
        <is>
          <t>双</t>
        </is>
      </c>
      <c r="U2" s="109" t="inlineStr">
        <is>
          <t>双</t>
        </is>
      </c>
      <c r="V2" s="109" t="inlineStr">
        <is>
          <t>双</t>
        </is>
      </c>
      <c r="W2" s="109" t="inlineStr">
        <is>
          <t>双</t>
        </is>
      </c>
      <c r="X2" s="109" t="inlineStr">
        <is>
          <t>双</t>
        </is>
      </c>
      <c r="Y2" s="109" t="inlineStr"/>
      <c r="Z2" s="109" t="inlineStr">
        <is>
          <t>双</t>
        </is>
      </c>
      <c r="AA2" s="109" t="inlineStr">
        <is>
          <t>双</t>
        </is>
      </c>
      <c r="AB2" s="109" t="inlineStr">
        <is>
          <t>双</t>
        </is>
      </c>
      <c r="AC2" s="109" t="inlineStr">
        <is>
          <t>双</t>
        </is>
      </c>
      <c r="AD2" s="109" t="inlineStr">
        <is>
          <t>双</t>
        </is>
      </c>
      <c r="AE2" s="109" t="inlineStr">
        <is>
          <t>双</t>
        </is>
      </c>
      <c r="AF2" s="109" t="inlineStr"/>
      <c r="AG2" s="109" t="inlineStr">
        <is>
          <t>双</t>
        </is>
      </c>
      <c r="AH2" s="109" t="inlineStr">
        <is>
          <t>双</t>
        </is>
      </c>
      <c r="AI2" s="109" t="inlineStr">
        <is>
          <t>双</t>
        </is>
      </c>
      <c r="AJ2" s="109" t="inlineStr">
        <is>
          <t>双</t>
        </is>
      </c>
      <c r="AK2" s="109" t="inlineStr">
        <is>
          <t>双</t>
        </is>
      </c>
      <c r="AL2" s="109" t="inlineStr">
        <is>
          <t>双</t>
        </is>
      </c>
      <c r="AM2" s="109" t="inlineStr"/>
      <c r="AN2" s="109" t="inlineStr">
        <is>
          <t>双</t>
        </is>
      </c>
      <c r="AO2" s="109" t="inlineStr">
        <is>
          <t>双</t>
        </is>
      </c>
      <c r="AP2" s="109" t="inlineStr">
        <is>
          <t>双</t>
        </is>
      </c>
      <c r="AQ2" s="109" t="inlineStr">
        <is>
          <t>双</t>
        </is>
      </c>
      <c r="AR2" s="109" t="inlineStr">
        <is>
          <t>双</t>
        </is>
      </c>
      <c r="AS2" s="109" t="inlineStr">
        <is>
          <t>双</t>
        </is>
      </c>
      <c r="AT2" s="109" t="inlineStr"/>
      <c r="AU2" s="109" t="inlineStr">
        <is>
          <t>双</t>
        </is>
      </c>
      <c r="AV2" s="109" t="inlineStr">
        <is>
          <t>双</t>
        </is>
      </c>
      <c r="AW2" s="109" t="inlineStr">
        <is>
          <t>双</t>
        </is>
      </c>
      <c r="AX2" s="109" t="inlineStr">
        <is>
          <t>双</t>
        </is>
      </c>
      <c r="AY2" s="109" t="inlineStr">
        <is>
          <t>双</t>
        </is>
      </c>
      <c r="AZ2" s="109" t="inlineStr">
        <is>
          <t>双</t>
        </is>
      </c>
      <c r="BA2" s="109" t="inlineStr"/>
      <c r="BB2" s="109" t="inlineStr">
        <is>
          <t>双</t>
        </is>
      </c>
      <c r="BC2" s="109" t="inlineStr">
        <is>
          <t>双</t>
        </is>
      </c>
      <c r="BD2" s="109" t="inlineStr">
        <is>
          <t>双</t>
        </is>
      </c>
      <c r="BE2" s="109" t="inlineStr">
        <is>
          <t>双</t>
        </is>
      </c>
      <c r="BF2" s="109" t="inlineStr">
        <is>
          <t>双</t>
        </is>
      </c>
      <c r="BG2" s="109" t="inlineStr">
        <is>
          <t>双</t>
        </is>
      </c>
      <c r="BH2" s="109" t="inlineStr"/>
      <c r="BI2" s="109" t="inlineStr">
        <is>
          <t>双</t>
        </is>
      </c>
      <c r="BJ2" s="109" t="inlineStr">
        <is>
          <t>双</t>
        </is>
      </c>
      <c r="BK2" s="109" t="inlineStr">
        <is>
          <t>双</t>
        </is>
      </c>
      <c r="BL2" s="109" t="inlineStr">
        <is>
          <t>双</t>
        </is>
      </c>
      <c r="BM2" s="109" t="inlineStr">
        <is>
          <t>双</t>
        </is>
      </c>
      <c r="BN2" s="109" t="inlineStr">
        <is>
          <t>双</t>
        </is>
      </c>
      <c r="BO2" s="109" t="inlineStr">
        <is>
          <t>双</t>
        </is>
      </c>
      <c r="BP2" s="109" t="inlineStr">
        <is>
          <t>双</t>
        </is>
      </c>
      <c r="BQ2" s="109" t="inlineStr">
        <is>
          <t>双</t>
        </is>
      </c>
    </row>
    <row r="3" ht="17" customFormat="1" customHeight="1" s="101">
      <c r="J3" s="102" t="n"/>
      <c r="K3" s="103" t="n"/>
      <c r="N3" s="0">
        <f>MAX(0,ROWS(UNIQUE(FILTER($F7:$F17,(N7:N17&gt;0)*($F7:$F17&lt;&gt;""))))-1)*IF(N2="双",VLOOKUP($A$1,'换码设置'!$A:$C,2,FALSE),IF(N2="单",VLOOKUP($A$1,'换码设置'!$A:$C,3,FALSE),0))</f>
        <v/>
      </c>
      <c r="O3" s="0">
        <f>MAX(0,ROWS(UNIQUE(FILTER($F7:$F17,(O7:O17&gt;0)*($F7:$F17&lt;&gt;""))))-1)*IF(O2="双",VLOOKUP($A$1,'换码设置'!$A:$C,2,FALSE),IF(O2="单",VLOOKUP($A$1,'换码设置'!$A:$C,3,FALSE),0))</f>
        <v/>
      </c>
      <c r="P3" s="0">
        <f>MAX(0,ROWS(UNIQUE(FILTER($F7:$F17,(P7:P17&gt;0)*($F7:$F17&lt;&gt;""))))-1)*IF(P2="双",VLOOKUP($A$1,'换码设置'!$A:$C,2,FALSE),IF(P2="单",VLOOKUP($A$1,'换码设置'!$A:$C,3,FALSE),0))</f>
        <v/>
      </c>
      <c r="Q3" s="0">
        <f>MAX(0,ROWS(UNIQUE(FILTER($F7:$F17,(Q7:Q17&gt;0)*($F7:$F17&lt;&gt;""))))-1)*IF(Q2="双",VLOOKUP($A$1,'换码设置'!$A:$C,2,FALSE),IF(Q2="单",VLOOKUP($A$1,'换码设置'!$A:$C,3,FALSE),0))</f>
        <v/>
      </c>
      <c r="R3" s="0">
        <f>MAX(0,ROWS(UNIQUE(FILTER($F7:$F17,(R7:R17&gt;0)*($F7:$F17&lt;&gt;""))))-1)*IF(R2="双",VLOOKUP($A$1,'换码设置'!$A:$C,2,FALSE),IF(R2="单",VLOOKUP($A$1,'换码设置'!$A:$C,3,FALSE),0))</f>
        <v/>
      </c>
      <c r="S3" s="0">
        <f>MAX(0,ROWS(UNIQUE(FILTER($F7:$F17,(S7:S17&gt;0)*($F7:$F17&lt;&gt;""))))-1)*IF(S2="双",VLOOKUP($A$1,'换码设置'!$A:$C,2,FALSE),IF(S2="单",VLOOKUP($A$1,'换码设置'!$A:$C,3,FALSE),0))</f>
        <v/>
      </c>
      <c r="T3" s="0">
        <f>MAX(0,ROWS(UNIQUE(FILTER($F7:$F17,(T7:T17&gt;0)*($F7:$F17&lt;&gt;""))))-1)*IF(T2="双",VLOOKUP($A$1,'换码设置'!$A:$C,2,FALSE),IF(T2="单",VLOOKUP($A$1,'换码设置'!$A:$C,3,FALSE),0))</f>
        <v/>
      </c>
      <c r="U3" s="0">
        <f>MAX(0,ROWS(UNIQUE(FILTER($F7:$F17,(U7:U17&gt;0)*($F7:$F17&lt;&gt;""))))-1)*IF(U2="双",VLOOKUP($A$1,'换码设置'!$A:$C,2,FALSE),IF(U2="单",VLOOKUP($A$1,'换码设置'!$A:$C,3,FALSE),0))</f>
        <v/>
      </c>
      <c r="V3" s="0">
        <f>MAX(0,ROWS(UNIQUE(FILTER($F7:$F17,(V7:V17&gt;0)*($F7:$F17&lt;&gt;""))))-1)*IF(V2="双",VLOOKUP($A$1,'换码设置'!$A:$C,2,FALSE),IF(V2="单",VLOOKUP($A$1,'换码设置'!$A:$C,3,FALSE),0))</f>
        <v/>
      </c>
      <c r="W3" s="0">
        <f>MAX(0,ROWS(UNIQUE(FILTER($F7:$F17,(W7:W17&gt;0)*($F7:$F17&lt;&gt;""))))-1)*IF(W2="双",VLOOKUP($A$1,'换码设置'!$A:$C,2,FALSE),IF(W2="单",VLOOKUP($A$1,'换码设置'!$A:$C,3,FALSE),0))</f>
        <v/>
      </c>
      <c r="X3" s="0">
        <f>MAX(0,ROWS(UNIQUE(FILTER($F7:$F17,(X7:X17&gt;0)*($F7:$F17&lt;&gt;""))))-1)*IF(X2="双",VLOOKUP($A$1,'换码设置'!$A:$C,2,FALSE),IF(X2="单",VLOOKUP($A$1,'换码设置'!$A:$C,3,FALSE),0))</f>
        <v/>
      </c>
      <c r="Y3" s="0">
        <f>MAX(0,ROWS(UNIQUE(FILTER($F7:$F17,(Y7:Y17&gt;0)*($F7:$F17&lt;&gt;""))))-1)*IF(Y2="双",VLOOKUP($A$1,'换码设置'!$A:$C,2,FALSE),IF(Y2="单",VLOOKUP($A$1,'换码设置'!$A:$C,3,FALSE),0))</f>
        <v/>
      </c>
      <c r="Z3" s="0">
        <f>MAX(0,ROWS(UNIQUE(FILTER($F7:$F17,(Z7:Z17&gt;0)*($F7:$F17&lt;&gt;""))))-1)*IF(Z2="双",VLOOKUP($A$1,'换码设置'!$A:$C,2,FALSE),IF(Z2="单",VLOOKUP($A$1,'换码设置'!$A:$C,3,FALSE),0))</f>
        <v/>
      </c>
      <c r="AA3" s="0">
        <f>MAX(0,ROWS(UNIQUE(FILTER($F7:$F17,(AA7:AA17&gt;0)*($F7:$F17&lt;&gt;""))))-1)*IF(AA2="双",VLOOKUP($A$1,'换码设置'!$A:$C,2,FALSE),IF(AA2="单",VLOOKUP($A$1,'换码设置'!$A:$C,3,FALSE),0))</f>
        <v/>
      </c>
      <c r="AB3" s="0">
        <f>MAX(0,ROWS(UNIQUE(FILTER($F7:$F17,(AB7:AB17&gt;0)*($F7:$F17&lt;&gt;""))))-1)*IF(AB2="双",VLOOKUP($A$1,'换码设置'!$A:$C,2,FALSE),IF(AB2="单",VLOOKUP($A$1,'换码设置'!$A:$C,3,FALSE),0))</f>
        <v/>
      </c>
      <c r="AC3" s="0">
        <f>MAX(0,ROWS(UNIQUE(FILTER($F7:$F17,(AC7:AC17&gt;0)*($F7:$F17&lt;&gt;""))))-1)*IF(AC2="双",VLOOKUP($A$1,'换码设置'!$A:$C,2,FALSE),IF(AC2="单",VLOOKUP($A$1,'换码设置'!$A:$C,3,FALSE),0))</f>
        <v/>
      </c>
      <c r="AD3" s="0">
        <f>MAX(0,ROWS(UNIQUE(FILTER($F7:$F17,(AD7:AD17&gt;0)*($F7:$F17&lt;&gt;""))))-1)*IF(AD2="双",VLOOKUP($A$1,'换码设置'!$A:$C,2,FALSE),IF(AD2="单",VLOOKUP($A$1,'换码设置'!$A:$C,3,FALSE),0))</f>
        <v/>
      </c>
      <c r="AE3" s="0">
        <f>MAX(0,ROWS(UNIQUE(FILTER($F7:$F17,(AE7:AE17&gt;0)*($F7:$F17&lt;&gt;""))))-1)*IF(AE2="双",VLOOKUP($A$1,'换码设置'!$A:$C,2,FALSE),IF(AE2="单",VLOOKUP($A$1,'换码设置'!$A:$C,3,FALSE),0))</f>
        <v/>
      </c>
      <c r="AF3" s="0">
        <f>MAX(0,ROWS(UNIQUE(FILTER($F7:$F17,(AF7:AF17&gt;0)*($F7:$F17&lt;&gt;""))))-1)*IF(AF2="双",VLOOKUP($A$1,'换码设置'!$A:$C,2,FALSE),IF(AF2="单",VLOOKUP($A$1,'换码设置'!$A:$C,3,FALSE),0))</f>
        <v/>
      </c>
      <c r="AG3" s="0">
        <f>MAX(0,ROWS(UNIQUE(FILTER($F7:$F17,(AG7:AG17&gt;0)*($F7:$F17&lt;&gt;""))))-1)*IF(AG2="双",VLOOKUP($A$1,'换码设置'!$A:$C,2,FALSE),IF(AG2="单",VLOOKUP($A$1,'换码设置'!$A:$C,3,FALSE),0))</f>
        <v/>
      </c>
      <c r="AH3" s="0">
        <f>MAX(0,ROWS(UNIQUE(FILTER($F7:$F17,(AH7:AH17&gt;0)*($F7:$F17&lt;&gt;""))))-1)*IF(AH2="双",VLOOKUP($A$1,'换码设置'!$A:$C,2,FALSE),IF(AH2="单",VLOOKUP($A$1,'换码设置'!$A:$C,3,FALSE),0))</f>
        <v/>
      </c>
      <c r="AI3" s="0">
        <f>MAX(0,ROWS(UNIQUE(FILTER($F7:$F17,(AI7:AI17&gt;0)*($F7:$F17&lt;&gt;""))))-1)*IF(AI2="双",VLOOKUP($A$1,'换码设置'!$A:$C,2,FALSE),IF(AI2="单",VLOOKUP($A$1,'换码设置'!$A:$C,3,FALSE),0))</f>
        <v/>
      </c>
      <c r="AJ3" s="0">
        <f>MAX(0,ROWS(UNIQUE(FILTER($F7:$F17,(AJ7:AJ17&gt;0)*($F7:$F17&lt;&gt;""))))-1)*IF(AJ2="双",VLOOKUP($A$1,'换码设置'!$A:$C,2,FALSE),IF(AJ2="单",VLOOKUP($A$1,'换码设置'!$A:$C,3,FALSE),0))</f>
        <v/>
      </c>
      <c r="AK3" s="0">
        <f>MAX(0,ROWS(UNIQUE(FILTER($F7:$F17,(AK7:AK17&gt;0)*($F7:$F17&lt;&gt;""))))-1)*IF(AK2="双",VLOOKUP($A$1,'换码设置'!$A:$C,2,FALSE),IF(AK2="单",VLOOKUP($A$1,'换码设置'!$A:$C,3,FALSE),0))</f>
        <v/>
      </c>
      <c r="AL3" s="0">
        <f>MAX(0,ROWS(UNIQUE(FILTER($F7:$F17,(AL7:AL17&gt;0)*($F7:$F17&lt;&gt;""))))-1)*IF(AL2="双",VLOOKUP($A$1,'换码设置'!$A:$C,2,FALSE),IF(AL2="单",VLOOKUP($A$1,'换码设置'!$A:$C,3,FALSE),0))</f>
        <v/>
      </c>
      <c r="AM3" s="0">
        <f>MAX(0,ROWS(UNIQUE(FILTER($F7:$F17,(AM7:AM17&gt;0)*($F7:$F17&lt;&gt;""))))-1)*IF(AM2="双",VLOOKUP($A$1,'换码设置'!$A:$C,2,FALSE),IF(AM2="单",VLOOKUP($A$1,'换码设置'!$A:$C,3,FALSE),0))</f>
        <v/>
      </c>
      <c r="AN3" s="0">
        <f>MAX(0,ROWS(UNIQUE(FILTER($F7:$F17,(AN7:AN17&gt;0)*($F7:$F17&lt;&gt;""))))-1)*IF(AN2="双",VLOOKUP($A$1,'换码设置'!$A:$C,2,FALSE),IF(AN2="单",VLOOKUP($A$1,'换码设置'!$A:$C,3,FALSE),0))</f>
        <v/>
      </c>
      <c r="AO3" s="0">
        <f>MAX(0,ROWS(UNIQUE(FILTER($F7:$F17,(AO7:AO17&gt;0)*($F7:$F17&lt;&gt;""))))-1)*IF(AO2="双",VLOOKUP($A$1,'换码设置'!$A:$C,2,FALSE),IF(AO2="单",VLOOKUP($A$1,'换码设置'!$A:$C,3,FALSE),0))</f>
        <v/>
      </c>
      <c r="AP3" s="0">
        <f>MAX(0,ROWS(UNIQUE(FILTER($F7:$F17,(AP7:AP17&gt;0)*($F7:$F17&lt;&gt;""))))-1)*IF(AP2="双",VLOOKUP($A$1,'换码设置'!$A:$C,2,FALSE),IF(AP2="单",VLOOKUP($A$1,'换码设置'!$A:$C,3,FALSE),0))</f>
        <v/>
      </c>
      <c r="AQ3" s="0">
        <f>MAX(0,ROWS(UNIQUE(FILTER($F7:$F17,(AQ7:AQ17&gt;0)*($F7:$F17&lt;&gt;""))))-1)*IF(AQ2="双",VLOOKUP($A$1,'换码设置'!$A:$C,2,FALSE),IF(AQ2="单",VLOOKUP($A$1,'换码设置'!$A:$C,3,FALSE),0))</f>
        <v/>
      </c>
      <c r="AR3" s="0">
        <f>MAX(0,ROWS(UNIQUE(FILTER($F7:$F17,(AR7:AR17&gt;0)*($F7:$F17&lt;&gt;""))))-1)*IF(AR2="双",VLOOKUP($A$1,'换码设置'!$A:$C,2,FALSE),IF(AR2="单",VLOOKUP($A$1,'换码设置'!$A:$C,3,FALSE),0))</f>
        <v/>
      </c>
      <c r="AS3" s="0">
        <f>MAX(0,ROWS(UNIQUE(FILTER($F7:$F17,(AS7:AS17&gt;0)*($F7:$F17&lt;&gt;""))))-1)*IF(AS2="双",VLOOKUP($A$1,'换码设置'!$A:$C,2,FALSE),IF(AS2="单",VLOOKUP($A$1,'换码设置'!$A:$C,3,FALSE),0))</f>
        <v/>
      </c>
      <c r="AT3" s="0">
        <f>MAX(0,ROWS(UNIQUE(FILTER($F7:$F17,(AT7:AT17&gt;0)*($F7:$F17&lt;&gt;""))))-1)*IF(AT2="双",VLOOKUP($A$1,'换码设置'!$A:$C,2,FALSE),IF(AT2="单",VLOOKUP($A$1,'换码设置'!$A:$C,3,FALSE),0))</f>
        <v/>
      </c>
      <c r="AU3" s="0">
        <f>MAX(0,ROWS(UNIQUE(FILTER($F7:$F17,(AU7:AU17&gt;0)*($F7:$F17&lt;&gt;""))))-1)*IF(AU2="双",VLOOKUP($A$1,'换码设置'!$A:$C,2,FALSE),IF(AU2="单",VLOOKUP($A$1,'换码设置'!$A:$C,3,FALSE),0))</f>
        <v/>
      </c>
      <c r="AV3" s="0">
        <f>MAX(0,ROWS(UNIQUE(FILTER($F7:$F17,(AV7:AV17&gt;0)*($F7:$F17&lt;&gt;""))))-1)*IF(AV2="双",VLOOKUP($A$1,'换码设置'!$A:$C,2,FALSE),IF(AV2="单",VLOOKUP($A$1,'换码设置'!$A:$C,3,FALSE),0))</f>
        <v/>
      </c>
      <c r="AW3" s="0">
        <f>MAX(0,ROWS(UNIQUE(FILTER($F7:$F17,(AW7:AW17&gt;0)*($F7:$F17&lt;&gt;""))))-1)*IF(AW2="双",VLOOKUP($A$1,'换码设置'!$A:$C,2,FALSE),IF(AW2="单",VLOOKUP($A$1,'换码设置'!$A:$C,3,FALSE),0))</f>
        <v/>
      </c>
      <c r="AX3" s="0">
        <f>MAX(0,ROWS(UNIQUE(FILTER($F7:$F17,(AX7:AX17&gt;0)*($F7:$F17&lt;&gt;""))))-1)*IF(AX2="双",VLOOKUP($A$1,'换码设置'!$A:$C,2,FALSE),IF(AX2="单",VLOOKUP($A$1,'换码设置'!$A:$C,3,FALSE),0))</f>
        <v/>
      </c>
      <c r="AY3" s="0">
        <f>MAX(0,ROWS(UNIQUE(FILTER($F7:$F17,(AY7:AY17&gt;0)*($F7:$F17&lt;&gt;""))))-1)*IF(AY2="双",VLOOKUP($A$1,'换码设置'!$A:$C,2,FALSE),IF(AY2="单",VLOOKUP($A$1,'换码设置'!$A:$C,3,FALSE),0))</f>
        <v/>
      </c>
      <c r="AZ3" s="0">
        <f>MAX(0,ROWS(UNIQUE(FILTER($F7:$F17,(AZ7:AZ17&gt;0)*($F7:$F17&lt;&gt;""))))-1)*IF(AZ2="双",VLOOKUP($A$1,'换码设置'!$A:$C,2,FALSE),IF(AZ2="单",VLOOKUP($A$1,'换码设置'!$A:$C,3,FALSE),0))</f>
        <v/>
      </c>
      <c r="BA3" s="0">
        <f>MAX(0,ROWS(UNIQUE(FILTER($F7:$F17,(BA7:BA17&gt;0)*($F7:$F17&lt;&gt;""))))-1)*IF(BA2="双",VLOOKUP($A$1,'换码设置'!$A:$C,2,FALSE),IF(BA2="单",VLOOKUP($A$1,'换码设置'!$A:$C,3,FALSE),0))</f>
        <v/>
      </c>
      <c r="BB3" s="0">
        <f>MAX(0,ROWS(UNIQUE(FILTER($F7:$F17,(BB7:BB17&gt;0)*($F7:$F17&lt;&gt;""))))-1)*IF(BB2="双",VLOOKUP($A$1,'换码设置'!$A:$C,2,FALSE),IF(BB2="单",VLOOKUP($A$1,'换码设置'!$A:$C,3,FALSE),0))</f>
        <v/>
      </c>
      <c r="BC3" s="0">
        <f>MAX(0,ROWS(UNIQUE(FILTER($F7:$F17,(BC7:BC17&gt;0)*($F7:$F17&lt;&gt;""))))-1)*IF(BC2="双",VLOOKUP($A$1,'换码设置'!$A:$C,2,FALSE),IF(BC2="单",VLOOKUP($A$1,'换码设置'!$A:$C,3,FALSE),0))</f>
        <v/>
      </c>
      <c r="BD3" s="0">
        <f>MAX(0,ROWS(UNIQUE(FILTER($F7:$F17,(BD7:BD17&gt;0)*($F7:$F17&lt;&gt;""))))-1)*IF(BD2="双",VLOOKUP($A$1,'换码设置'!$A:$C,2,FALSE),IF(BD2="单",VLOOKUP($A$1,'换码设置'!$A:$C,3,FALSE),0))</f>
        <v/>
      </c>
      <c r="BE3" s="0">
        <f>MAX(0,ROWS(UNIQUE(FILTER($F7:$F17,(BE7:BE17&gt;0)*($F7:$F17&lt;&gt;""))))-1)*IF(BE2="双",VLOOKUP($A$1,'换码设置'!$A:$C,2,FALSE),IF(BE2="单",VLOOKUP($A$1,'换码设置'!$A:$C,3,FALSE),0))</f>
        <v/>
      </c>
      <c r="BF3" s="0">
        <f>MAX(0,ROWS(UNIQUE(FILTER($F7:$F17,(BF7:BF17&gt;0)*($F7:$F17&lt;&gt;""))))-1)*IF(BF2="双",VLOOKUP($A$1,'换码设置'!$A:$C,2,FALSE),IF(BF2="单",VLOOKUP($A$1,'换码设置'!$A:$C,3,FALSE),0))</f>
        <v/>
      </c>
      <c r="BG3" s="0">
        <f>MAX(0,ROWS(UNIQUE(FILTER($F7:$F17,(BG7:BG17&gt;0)*($F7:$F17&lt;&gt;""))))-1)*IF(BG2="双",VLOOKUP($A$1,'换码设置'!$A:$C,2,FALSE),IF(BG2="单",VLOOKUP($A$1,'换码设置'!$A:$C,3,FALSE),0))</f>
        <v/>
      </c>
      <c r="BH3" s="0">
        <f>MAX(0,ROWS(UNIQUE(FILTER($F7:$F17,(BH7:BH17&gt;0)*($F7:$F17&lt;&gt;""))))-1)*IF(BH2="双",VLOOKUP($A$1,'换码设置'!$A:$C,2,FALSE),IF(BH2="单",VLOOKUP($A$1,'换码设置'!$A:$C,3,FALSE),0))</f>
        <v/>
      </c>
      <c r="BI3" s="0">
        <f>MAX(0,ROWS(UNIQUE(FILTER($F7:$F17,(BI7:BI17&gt;0)*($F7:$F17&lt;&gt;""))))-1)*IF(BI2="双",VLOOKUP($A$1,'换码设置'!$A:$C,2,FALSE),IF(BI2="单",VLOOKUP($A$1,'换码设置'!$A:$C,3,FALSE),0))</f>
        <v/>
      </c>
      <c r="BJ3" s="0">
        <f>MAX(0,ROWS(UNIQUE(FILTER($F7:$F17,(BJ7:BJ17&gt;0)*($F7:$F17&lt;&gt;""))))-1)*IF(BJ2="双",VLOOKUP($A$1,'换码设置'!$A:$C,2,FALSE),IF(BJ2="单",VLOOKUP($A$1,'换码设置'!$A:$C,3,FALSE),0))</f>
        <v/>
      </c>
      <c r="BK3" s="0">
        <f>MAX(0,ROWS(UNIQUE(FILTER($F7:$F17,(BK7:BK17&gt;0)*($F7:$F17&lt;&gt;""))))-1)*IF(BK2="双",VLOOKUP($A$1,'换码设置'!$A:$C,2,FALSE),IF(BK2="单",VLOOKUP($A$1,'换码设置'!$A:$C,3,FALSE),0))</f>
        <v/>
      </c>
      <c r="BL3" s="0">
        <f>MAX(0,ROWS(UNIQUE(FILTER($F7:$F17,(BL7:BL17&gt;0)*($F7:$F17&lt;&gt;""))))-1)*IF(BL2="双",VLOOKUP($A$1,'换码设置'!$A:$C,2,FALSE),IF(BL2="单",VLOOKUP($A$1,'换码设置'!$A:$C,3,FALSE),0))</f>
        <v/>
      </c>
      <c r="BM3" s="0">
        <f>MAX(0,ROWS(UNIQUE(FILTER($F7:$F17,(BM7:BM17&gt;0)*($F7:$F17&lt;&gt;""))))-1)*IF(BM2="双",VLOOKUP($A$1,'换码设置'!$A:$C,2,FALSE),IF(BM2="单",VLOOKUP($A$1,'换码设置'!$A:$C,3,FALSE),0))</f>
        <v/>
      </c>
      <c r="BN3" s="0">
        <f>MAX(0,ROWS(UNIQUE(FILTER($F7:$F17,(BN7:BN17&gt;0)*($F7:$F17&lt;&gt;""))))-1)*IF(BN2="双",VLOOKUP($A$1,'换码设置'!$A:$C,2,FALSE),IF(BN2="单",VLOOKUP($A$1,'换码设置'!$A:$C,3,FALSE),0))</f>
        <v/>
      </c>
      <c r="BO3" s="0">
        <f>MAX(0,ROWS(UNIQUE(FILTER($F7:$F17,(BO7:BO17&gt;0)*($F7:$F17&lt;&gt;""))))-1)*IF(BO2="双",VLOOKUP($A$1,'换码设置'!$A:$C,2,FALSE),IF(BO2="单",VLOOKUP($A$1,'换码设置'!$A:$C,3,FALSE),0))</f>
        <v/>
      </c>
      <c r="BP3" s="0">
        <f>MAX(0,ROWS(UNIQUE(FILTER($F7:$F17,(BP7:BP17&gt;0)*($F7:$F17&lt;&gt;""))))-1)*IF(BP2="双",VLOOKUP($A$1,'换码设置'!$A:$C,2,FALSE),IF(BP2="单",VLOOKUP($A$1,'换码设置'!$A:$C,3,FALSE),0))</f>
        <v/>
      </c>
      <c r="BQ3" s="0">
        <f>MAX(0,ROWS(UNIQUE(FILTER($F7:$F17,(BQ7:BQ17&gt;0)*($F7:$F17&lt;&gt;""))))-1)*IF(BQ2="双",VLOOKUP($A$1,'换码设置'!$A:$C,2,FALSE),IF(BQ2="单",VLOOKUP($A$1,'换码设置'!$A:$C,3,FALSE),0))</f>
        <v/>
      </c>
    </row>
    <row r="4" ht="17" customFormat="1" customHeight="1" s="101">
      <c r="K4" s="103" t="n"/>
      <c r="L4" s="5" t="inlineStr">
        <is>
          <t>5月排产计划</t>
        </is>
      </c>
      <c r="M4" s="108">
        <f>SUM(M5:AL5)</f>
        <v/>
      </c>
      <c r="N4" s="109" t="n">
        <v>46148</v>
      </c>
      <c r="O4" s="109" t="n">
        <v>46149</v>
      </c>
      <c r="P4" s="109" t="n">
        <v>46150</v>
      </c>
      <c r="Q4" s="109" t="n">
        <v>46151</v>
      </c>
      <c r="R4" s="109" t="n">
        <v>46152</v>
      </c>
      <c r="S4" s="109" t="n">
        <v>46153</v>
      </c>
      <c r="T4" s="109" t="n">
        <v>46154</v>
      </c>
      <c r="U4" s="109" t="n">
        <v>46155</v>
      </c>
      <c r="V4" s="109" t="n">
        <v>46156</v>
      </c>
      <c r="W4" s="109" t="n">
        <v>46157</v>
      </c>
      <c r="X4" s="109" t="n">
        <v>46158</v>
      </c>
      <c r="Y4" s="109" t="n">
        <v>46159</v>
      </c>
      <c r="Z4" s="109" t="n">
        <v>46160</v>
      </c>
      <c r="AA4" s="109" t="n">
        <v>46161</v>
      </c>
      <c r="AB4" s="109" t="n">
        <v>46162</v>
      </c>
      <c r="AC4" s="109" t="n">
        <v>46163</v>
      </c>
      <c r="AD4" s="109" t="n">
        <v>46164</v>
      </c>
      <c r="AE4" s="109" t="n">
        <v>46165</v>
      </c>
      <c r="AF4" s="109" t="n">
        <v>46166</v>
      </c>
      <c r="AG4" s="109" t="n">
        <v>46167</v>
      </c>
      <c r="AH4" s="109" t="n">
        <v>46168</v>
      </c>
      <c r="AI4" s="109" t="n">
        <v>46169</v>
      </c>
      <c r="AJ4" s="109" t="n">
        <v>46170</v>
      </c>
      <c r="AK4" s="109" t="n">
        <v>46171</v>
      </c>
      <c r="AL4" s="109" t="n">
        <v>46172</v>
      </c>
      <c r="AM4" s="109" t="n">
        <v>46173</v>
      </c>
      <c r="AN4" s="109" t="n">
        <v>46174</v>
      </c>
      <c r="AO4" s="109" t="n">
        <v>46175</v>
      </c>
      <c r="AP4" s="109" t="n">
        <v>46176</v>
      </c>
      <c r="AQ4" s="109" t="n">
        <v>46177</v>
      </c>
      <c r="AR4" s="109" t="n">
        <v>46178</v>
      </c>
      <c r="AS4" s="109" t="n">
        <v>46179</v>
      </c>
      <c r="AT4" s="109" t="n">
        <v>46180</v>
      </c>
      <c r="AU4" s="109" t="n">
        <v>46181</v>
      </c>
      <c r="AV4" s="109" t="n">
        <v>46182</v>
      </c>
      <c r="AW4" s="109" t="n">
        <v>46183</v>
      </c>
      <c r="AX4" s="109" t="n">
        <v>46184</v>
      </c>
      <c r="AY4" s="109" t="n">
        <v>46185</v>
      </c>
      <c r="AZ4" s="109" t="n">
        <v>46186</v>
      </c>
      <c r="BA4" s="109" t="n">
        <v>46187</v>
      </c>
      <c r="BB4" s="109" t="n">
        <v>46188</v>
      </c>
      <c r="BC4" s="109" t="n">
        <v>46189</v>
      </c>
      <c r="BD4" s="109" t="n">
        <v>46190</v>
      </c>
      <c r="BE4" s="109" t="n">
        <v>46191</v>
      </c>
      <c r="BF4" s="109" t="n">
        <v>46192</v>
      </c>
      <c r="BG4" s="109" t="n">
        <v>46193</v>
      </c>
      <c r="BH4" s="109" t="n">
        <v>46194</v>
      </c>
      <c r="BI4" s="109" t="n">
        <v>46195</v>
      </c>
      <c r="BJ4" s="109" t="n">
        <v>46196</v>
      </c>
      <c r="BK4" s="109" t="n">
        <v>46197</v>
      </c>
      <c r="BL4" s="109" t="n">
        <v>46198</v>
      </c>
      <c r="BM4" s="109" t="n">
        <v>46199</v>
      </c>
      <c r="BN4" s="109" t="n">
        <v>46200</v>
      </c>
      <c r="BO4" s="109" t="n">
        <v>46201</v>
      </c>
      <c r="BP4" s="109" t="n">
        <v>46202</v>
      </c>
      <c r="BQ4" s="109" t="n">
        <v>46203</v>
      </c>
    </row>
    <row r="5" ht="15.5" customFormat="1" customHeight="1" s="101">
      <c r="G5" s="101" t="n"/>
      <c r="J5" s="95" t="n"/>
      <c r="K5" s="96" t="n"/>
      <c r="L5" s="5" t="inlineStr">
        <is>
          <t>目前总共订单</t>
        </is>
      </c>
      <c r="M5" s="110">
        <f>SUM(L1:L3)</f>
        <v/>
      </c>
      <c r="N5" s="10">
        <f>IF(N2="单",$K$1,IF(N2="双",$K$2,0))-N3-N6</f>
        <v/>
      </c>
      <c r="O5" s="10">
        <f>IF(O2="单",$K$1,IF(O2="双",$K$2,0))-O3-O6</f>
        <v/>
      </c>
      <c r="P5" s="10">
        <f>IF(P2="单",$K$1,IF(P2="双",$K$2,0))-P3-P6</f>
        <v/>
      </c>
      <c r="Q5" s="10">
        <f>IF(Q2="单",$K$1,IF(Q2="双",$K$2,0))-Q3-Q6</f>
        <v/>
      </c>
      <c r="R5" s="10">
        <f>IF(R2="单",$K$1,IF(R2="双",$K$2,0))-R3-R6</f>
        <v/>
      </c>
      <c r="S5" s="10">
        <f>IF(S2="单",$K$1,IF(S2="双",$K$2,0))-S3-S6</f>
        <v/>
      </c>
      <c r="T5" s="10">
        <f>IF(T2="单",$K$1,IF(T2="双",$K$2,0))-T3-T6</f>
        <v/>
      </c>
      <c r="U5" s="10">
        <f>IF(U2="单",$K$1,IF(U2="双",$K$2,0))-U3-U6</f>
        <v/>
      </c>
      <c r="V5" s="10">
        <f>IF(V2="单",$K$1,IF(V2="双",$K$2,0))-V3-V6</f>
        <v/>
      </c>
      <c r="W5" s="10">
        <f>IF(W2="单",$K$1,IF(W2="双",$K$2,0))-W3-W6</f>
        <v/>
      </c>
      <c r="X5" s="10">
        <f>IF(X2="单",$K$1,IF(X2="双",$K$2,0))-X3-X6</f>
        <v/>
      </c>
      <c r="Y5" s="10">
        <f>IF(Y2="单",$K$1,IF(Y2="双",$K$2,0))-Y3-Y6</f>
        <v/>
      </c>
      <c r="Z5" s="10">
        <f>IF(Z2="单",$K$1,IF(Z2="双",$K$2,0))-Z3-Z6</f>
        <v/>
      </c>
      <c r="AA5" s="10">
        <f>IF(AA2="单",$K$1,IF(AA2="双",$K$2,0))-AA3-AA6</f>
        <v/>
      </c>
      <c r="AB5" s="10">
        <f>IF(AB2="单",$K$1,IF(AB2="双",$K$2,0))-AB3-AB6</f>
        <v/>
      </c>
      <c r="AC5" s="10">
        <f>IF(AC2="单",$K$1,IF(AC2="双",$K$2,0))-AC3-AC6</f>
        <v/>
      </c>
      <c r="AD5" s="10">
        <f>IF(AD2="单",$K$1,IF(AD2="双",$K$2,0))-AD3-AD6</f>
        <v/>
      </c>
      <c r="AE5" s="10">
        <f>IF(AE2="单",$K$1,IF(AE2="双",$K$2,0))-AE3-AE6</f>
        <v/>
      </c>
      <c r="AF5" s="10">
        <f>IF(AF2="单",$K$1,IF(AF2="双",$K$2,0))-AF3-AF6</f>
        <v/>
      </c>
      <c r="AG5" s="10">
        <f>IF(AG2="单",$K$1,IF(AG2="双",$K$2,0))-AG3-AG6</f>
        <v/>
      </c>
      <c r="AH5" s="10">
        <f>IF(AH2="单",$K$1,IF(AH2="双",$K$2,0))-AH3-AH6</f>
        <v/>
      </c>
      <c r="AI5" s="10">
        <f>IF(AI2="单",$K$1,IF(AI2="双",$K$2,0))-AI3-AI6</f>
        <v/>
      </c>
      <c r="AJ5" s="10">
        <f>IF(AJ2="单",$K$1,IF(AJ2="双",$K$2,0))-AJ3-AJ6</f>
        <v/>
      </c>
      <c r="AK5" s="10">
        <f>IF(AK2="单",$K$1,IF(AK2="双",$K$2,0))-AK3-AK6</f>
        <v/>
      </c>
      <c r="AL5" s="10">
        <f>IF(AL2="单",$K$1,IF(AL2="双",$K$2,0))-AL3-AL6</f>
        <v/>
      </c>
      <c r="AM5" s="10">
        <f>IF(AM2="单",$K$1,IF(AM2="双",$K$2,0))-AM3-AM6</f>
        <v/>
      </c>
      <c r="AN5" s="10">
        <f>IF(AN2="单",$K$1,IF(AN2="双",$K$2,0))-AN3-AN6</f>
        <v/>
      </c>
      <c r="AO5" s="10">
        <f>IF(AO2="单",$K$1,IF(AO2="双",$K$2,0))-AO3-AO6</f>
        <v/>
      </c>
      <c r="AP5" s="10">
        <f>IF(AP2="单",$K$1,IF(AP2="双",$K$2,0))-AP3-AP6</f>
        <v/>
      </c>
      <c r="AQ5" s="10">
        <f>IF(AQ2="单",$K$1,IF(AQ2="双",$K$2,0))-AQ3-AQ6</f>
        <v/>
      </c>
      <c r="AR5" s="10">
        <f>IF(AR2="单",$K$1,IF(AR2="双",$K$2,0))-AR3-AR6</f>
        <v/>
      </c>
      <c r="AS5" s="10">
        <f>IF(AS2="单",$K$1,IF(AS2="双",$K$2,0))-AS3-AS6</f>
        <v/>
      </c>
      <c r="AT5" s="10">
        <f>IF(AT2="单",$K$1,IF(AT2="双",$K$2,0))-AT3-AT6</f>
        <v/>
      </c>
      <c r="AU5" s="10">
        <f>IF(AU2="单",$K$1,IF(AU2="双",$K$2,0))-AU3-AU6</f>
        <v/>
      </c>
      <c r="AV5" s="10">
        <f>IF(AV2="单",$K$1,IF(AV2="双",$K$2,0))-AV3-AV6</f>
        <v/>
      </c>
      <c r="AW5" s="10">
        <f>IF(AW2="单",$K$1,IF(AW2="双",$K$2,0))-AW3-AW6</f>
        <v/>
      </c>
      <c r="AX5" s="10">
        <f>IF(AX2="单",$K$1,IF(AX2="双",$K$2,0))-AX3-AX6</f>
        <v/>
      </c>
      <c r="AY5" s="10">
        <f>IF(AY2="单",$K$1,IF(AY2="双",$K$2,0))-AY3-AY6</f>
        <v/>
      </c>
      <c r="AZ5" s="10">
        <f>IF(AZ2="单",$K$1,IF(AZ2="双",$K$2,0))-AZ3-AZ6</f>
        <v/>
      </c>
      <c r="BA5" s="10">
        <f>IF(BA2="单",$K$1,IF(BA2="双",$K$2,0))-BA3-BA6</f>
        <v/>
      </c>
      <c r="BB5" s="10">
        <f>IF(BB2="单",$K$1,IF(BB2="双",$K$2,0))-BB3-BB6</f>
        <v/>
      </c>
      <c r="BC5" s="10">
        <f>IF(BC2="单",$K$1,IF(BC2="双",$K$2,0))-BC3-BC6</f>
        <v/>
      </c>
      <c r="BD5" s="10">
        <f>IF(BD2="单",$K$1,IF(BD2="双",$K$2,0))-BD3-BD6</f>
        <v/>
      </c>
      <c r="BE5" s="10">
        <f>IF(BE2="单",$K$1,IF(BE2="双",$K$2,0))-BE3-BE6</f>
        <v/>
      </c>
      <c r="BF5" s="10">
        <f>IF(BF2="单",$K$1,IF(BF2="双",$K$2,0))-BF3-BF6</f>
        <v/>
      </c>
      <c r="BG5" s="10">
        <f>IF(BG2="单",$K$1,IF(BG2="双",$K$2,0))-BG3-BG6</f>
        <v/>
      </c>
      <c r="BH5" s="10">
        <f>IF(BH2="单",$K$1,IF(BH2="双",$K$2,0))-BH3-BH6</f>
        <v/>
      </c>
      <c r="BI5" s="10">
        <f>IF(BI2="单",$K$1,IF(BI2="双",$K$2,0))-BI3-BI6</f>
        <v/>
      </c>
      <c r="BJ5" s="10">
        <f>IF(BJ2="单",$K$1,IF(BJ2="双",$K$2,0))-BJ3-BJ6</f>
        <v/>
      </c>
      <c r="BK5" s="10">
        <f>IF(BK2="单",$K$1,IF(BK2="双",$K$2,0))-BK3-BK6</f>
        <v/>
      </c>
      <c r="BL5" s="10">
        <f>IF(BL2="单",$K$1,IF(BL2="双",$K$2,0))-BL3-BL6</f>
        <v/>
      </c>
      <c r="BM5" s="10">
        <f>IF(BM2="单",$K$1,IF(BM2="双",$K$2,0))-BM3-BM6</f>
        <v/>
      </c>
      <c r="BN5" s="10">
        <f>IF(BN2="单",$K$1,IF(BN2="双",$K$2,0))-BN3-BN6</f>
        <v/>
      </c>
      <c r="BO5" s="10">
        <f>IF(BO2="单",$K$1,IF(BO2="双",$K$2,0))-BO3-BO6</f>
        <v/>
      </c>
      <c r="BP5" s="10">
        <f>IF(BP2="单",$K$1,IF(BP2="双",$K$2,0))-BP3-BP6</f>
        <v/>
      </c>
      <c r="BQ5" s="10">
        <f>IF(BQ2="单",$K$1,IF(BQ2="双",$K$2,0))-BQ3-BQ6</f>
        <v/>
      </c>
    </row>
    <row r="6" ht="15.5" customFormat="1" customHeight="1" s="2">
      <c r="A6" s="11" t="inlineStr">
        <is>
          <t>物料号</t>
        </is>
      </c>
      <c r="B6" s="11" t="inlineStr">
        <is>
          <t>合同号</t>
        </is>
      </c>
      <c r="C6" s="11" t="n"/>
      <c r="D6" s="11" t="inlineStr">
        <is>
          <t>生产单编号</t>
        </is>
      </c>
      <c r="E6" s="12" t="inlineStr">
        <is>
          <t>产品</t>
        </is>
      </c>
      <c r="F6" t="inlineStr">
        <is>
          <t>尺码</t>
        </is>
      </c>
      <c r="G6" s="97" t="inlineStr">
        <is>
          <t>规格(p*b*z)</t>
        </is>
      </c>
      <c r="H6" s="98" t="n"/>
      <c r="I6" s="111" t="inlineStr">
        <is>
          <t>下单时间</t>
        </is>
      </c>
      <c r="J6" s="112" t="inlineStr">
        <is>
          <t>最晚交货时间</t>
        </is>
      </c>
      <c r="K6" s="15" t="inlineStr">
        <is>
          <t>下单箱数</t>
        </is>
      </c>
      <c r="L6" s="16" t="inlineStr">
        <is>
          <t>下单片数</t>
        </is>
      </c>
      <c r="M6" s="17" t="inlineStr">
        <is>
          <t>剩余排产</t>
        </is>
      </c>
      <c r="N6" s="17">
        <f>SUMPRODUCT($G7:$G9964,$H7:$H9964,N$7:N$9964)</f>
        <v/>
      </c>
      <c r="O6" s="17">
        <f>SUMPRODUCT($G7:$G9964,$H7:$H9964,O$7:O$9964)</f>
        <v/>
      </c>
      <c r="P6" s="17">
        <f>SUMPRODUCT($G7:$G9964,$H7:$H9964,P$7:P$9964)</f>
        <v/>
      </c>
      <c r="Q6" s="17">
        <f>SUMPRODUCT($G7:$G9964,$H7:$H9964,Q$7:Q$9964)</f>
        <v/>
      </c>
      <c r="R6" s="17">
        <f>SUMPRODUCT($G7:$G9964,$H7:$H9964,R$7:R$9964)</f>
        <v/>
      </c>
      <c r="S6" s="17">
        <f>SUMPRODUCT($G7:$G9964,$H7:$H9964,S$7:S$9964)</f>
        <v/>
      </c>
      <c r="T6" s="17">
        <f>SUMPRODUCT($G7:$G9964,$H7:$H9964,T$7:T$9964)</f>
        <v/>
      </c>
      <c r="U6" s="17">
        <f>SUMPRODUCT($G7:$G9964,$H7:$H9964,U$7:U$9964)</f>
        <v/>
      </c>
      <c r="V6" s="17">
        <f>SUMPRODUCT($G7:$G9964,$H7:$H9964,V$7:V$9964)</f>
        <v/>
      </c>
      <c r="W6" s="17">
        <f>SUMPRODUCT($G7:$G9964,$H7:$H9964,W$7:W$9964)</f>
        <v/>
      </c>
      <c r="X6" s="17">
        <f>SUMPRODUCT($G7:$G9964,$H7:$H9964,X$7:X$9964)</f>
        <v/>
      </c>
      <c r="Y6" s="17">
        <f>SUMPRODUCT($G7:$G9964,$H7:$H9964,Y$7:Y$9964)</f>
        <v/>
      </c>
      <c r="Z6" s="17">
        <f>SUMPRODUCT($G7:$G9964,$H7:$H9964,Z$7:Z$9964)</f>
        <v/>
      </c>
      <c r="AA6" s="17">
        <f>SUMPRODUCT($G7:$G9964,$H7:$H9964,AA$7:AA$9964)</f>
        <v/>
      </c>
      <c r="AB6" s="17">
        <f>SUMPRODUCT($G7:$G9964,$H7:$H9964,AB$7:AB$9964)</f>
        <v/>
      </c>
      <c r="AC6" s="17">
        <f>SUMPRODUCT($G7:$G9964,$H7:$H9964,AC$7:AC$9964)</f>
        <v/>
      </c>
      <c r="AD6" s="17">
        <f>SUMPRODUCT($G7:$G9964,$H7:$H9964,AD$7:AD$9964)</f>
        <v/>
      </c>
      <c r="AE6" s="17">
        <f>SUMPRODUCT($G7:$G9964,$H7:$H9964,AE$7:AE$9964)</f>
        <v/>
      </c>
      <c r="AF6" s="17">
        <f>SUMPRODUCT($G7:$G9964,$H7:$H9964,AF$7:AF$9964)</f>
        <v/>
      </c>
      <c r="AG6" s="17">
        <f>SUMPRODUCT($G7:$G9964,$H7:$H9964,AG$7:AG$9964)</f>
        <v/>
      </c>
      <c r="AH6" s="17">
        <f>SUMPRODUCT($G7:$G9964,$H7:$H9964,AH$7:AH$9964)</f>
        <v/>
      </c>
      <c r="AI6" s="17">
        <f>SUMPRODUCT($G7:$G9964,$H7:$H9964,AI$7:AI$9964)</f>
        <v/>
      </c>
      <c r="AJ6" s="17">
        <f>SUMPRODUCT($G7:$G9964,$H7:$H9964,AJ$7:AJ$9964)</f>
        <v/>
      </c>
      <c r="AK6" s="17">
        <f>SUMPRODUCT($G7:$G9964,$H7:$H9964,AK$7:AK$9964)</f>
        <v/>
      </c>
      <c r="AL6" s="17">
        <f>SUMPRODUCT($G7:$G9964,$H7:$H9964,AL$7:AL$9964)</f>
        <v/>
      </c>
      <c r="AM6" s="17">
        <f>SUMPRODUCT($G7:$G9964,$H7:$H9964,AM$7:AM$9964)</f>
        <v/>
      </c>
      <c r="AN6" s="17">
        <f>SUMPRODUCT($G7:$G9964,$H7:$H9964,AN$7:AN$9964)</f>
        <v/>
      </c>
      <c r="AO6" s="17">
        <f>SUMPRODUCT($G7:$G9964,$H7:$H9964,AO$7:AO$9964)</f>
        <v/>
      </c>
      <c r="AP6" s="17">
        <f>SUMPRODUCT($G7:$G9964,$H7:$H9964,AP$7:AP$9964)</f>
        <v/>
      </c>
      <c r="AQ6" s="17">
        <f>SUMPRODUCT($G7:$G9964,$H7:$H9964,AQ$7:AQ$9964)</f>
        <v/>
      </c>
      <c r="AR6" s="17">
        <f>SUMPRODUCT($G7:$G9964,$H7:$H9964,AR$7:AR$9964)</f>
        <v/>
      </c>
      <c r="AS6" s="17">
        <f>SUMPRODUCT($G7:$G9964,$H7:$H9964,AS$7:AS$9964)</f>
        <v/>
      </c>
      <c r="AT6" s="17">
        <f>SUMPRODUCT($G7:$G9964,$H7:$H9964,AT$7:AT$9964)</f>
        <v/>
      </c>
      <c r="AU6" s="17">
        <f>SUMPRODUCT($G7:$G9964,$H7:$H9964,AU$7:AU$9964)</f>
        <v/>
      </c>
      <c r="AV6" s="17">
        <f>SUMPRODUCT($G7:$G9964,$H7:$H9964,AV$7:AV$9964)</f>
        <v/>
      </c>
      <c r="AW6" s="17">
        <f>SUMPRODUCT($G7:$G9964,$H7:$H9964,AW$7:AW$9964)</f>
        <v/>
      </c>
      <c r="AX6" s="17">
        <f>SUMPRODUCT($G7:$G9964,$H7:$H9964,AX$7:AX$9964)</f>
        <v/>
      </c>
      <c r="AY6" s="17">
        <f>SUMPRODUCT($G7:$G9964,$H7:$H9964,AY$7:AY$9964)</f>
        <v/>
      </c>
      <c r="AZ6" s="17">
        <f>SUMPRODUCT($G7:$G9964,$H7:$H9964,AZ$7:AZ$9964)</f>
        <v/>
      </c>
      <c r="BA6" s="17">
        <f>SUMPRODUCT($G7:$G9964,$H7:$H9964,BA$7:BA$9964)</f>
        <v/>
      </c>
      <c r="BB6" s="17">
        <f>SUMPRODUCT($G7:$G9964,$H7:$H9964,BB$7:BB$9964)</f>
        <v/>
      </c>
      <c r="BC6" s="17">
        <f>SUMPRODUCT($G7:$G9964,$H7:$H9964,BC$7:BC$9964)</f>
        <v/>
      </c>
      <c r="BD6" s="17">
        <f>SUMPRODUCT($G7:$G9964,$H7:$H9964,BD$7:BD$9964)</f>
        <v/>
      </c>
      <c r="BE6" s="17">
        <f>SUMPRODUCT($G7:$G9964,$H7:$H9964,BE$7:BE$9964)</f>
        <v/>
      </c>
      <c r="BF6" s="17">
        <f>SUMPRODUCT($G7:$G9964,$H7:$H9964,BF$7:BF$9964)</f>
        <v/>
      </c>
      <c r="BG6" s="17">
        <f>SUMPRODUCT($G7:$G9964,$H7:$H9964,BG$7:BG$9964)</f>
        <v/>
      </c>
      <c r="BH6" s="17">
        <f>SUMPRODUCT($G7:$G9964,$H7:$H9964,BH$7:BH$9964)</f>
        <v/>
      </c>
      <c r="BI6" s="17">
        <f>SUMPRODUCT($G7:$G9964,$H7:$H9964,BI$7:BI$9964)</f>
        <v/>
      </c>
      <c r="BJ6" s="17">
        <f>SUMPRODUCT($G7:$G9964,$H7:$H9964,BJ$7:BJ$9964)</f>
        <v/>
      </c>
      <c r="BK6" s="17">
        <f>SUMPRODUCT($G7:$G9964,$H7:$H9964,BK$7:BK$9964)</f>
        <v/>
      </c>
      <c r="BL6" s="17">
        <f>SUMPRODUCT($G7:$G9964,$H7:$H9964,BL$7:BL$9964)</f>
        <v/>
      </c>
      <c r="BM6" s="17">
        <f>SUMPRODUCT($G7:$G9964,$H7:$H9964,BM$7:BM$9964)</f>
        <v/>
      </c>
      <c r="BN6" s="17">
        <f>SUMPRODUCT($G7:$G9964,$H7:$H9964,BN$7:BN$9964)</f>
        <v/>
      </c>
      <c r="BO6" s="17">
        <f>SUMPRODUCT($G7:$G9964,$H7:$H9964,BO$7:BO$9964)</f>
        <v/>
      </c>
      <c r="BP6" s="17">
        <f>SUMPRODUCT($G7:$G9964,$H7:$H9964,BP$7:BP$9964)</f>
        <v/>
      </c>
      <c r="BQ6" s="17">
        <f>SUMPRODUCT($G7:$G9964,$H7:$H9964,BQ$7:BQ$9964)</f>
        <v/>
      </c>
    </row>
    <row r="7" ht="15.5" customFormat="1" customHeight="1" s="2">
      <c r="A7" s="18" t="inlineStr">
        <is>
          <t>1.6.15.372</t>
        </is>
      </c>
      <c r="B7" s="19" t="n"/>
      <c r="C7" s="20" t="n"/>
      <c r="D7" s="19" t="inlineStr">
        <is>
          <t>WO-ZZ00020717</t>
        </is>
      </c>
      <c r="E7" s="21" t="inlineStr">
        <is>
          <t>EQ Pants Jumbo Pack XL (40s+6) x6 2025-12-16</t>
        </is>
      </c>
      <c r="F7" t="inlineStr">
        <is>
          <t>XL</t>
        </is>
      </c>
      <c r="G7" s="19" t="n">
        <v>46</v>
      </c>
      <c r="H7" s="19" t="n">
        <v>6</v>
      </c>
      <c r="I7" s="118" t="n"/>
      <c r="J7" s="117" t="n"/>
      <c r="K7" s="19" t="n">
        <v>2530</v>
      </c>
      <c r="L7" s="19">
        <f>F6*G6*J6</f>
        <v/>
      </c>
      <c r="M7" s="19" t="n">
        <v>0</v>
      </c>
      <c r="N7" s="24" t="n">
        <v>2033</v>
      </c>
      <c r="O7" s="24" t="n">
        <v>497</v>
      </c>
      <c r="P7" s="24" t="n"/>
      <c r="Q7" s="24" t="n"/>
      <c r="R7" s="24" t="n"/>
      <c r="S7" s="24" t="n"/>
      <c r="T7" s="24" t="n"/>
      <c r="U7" s="24" t="n"/>
      <c r="V7" s="24" t="n"/>
      <c r="W7" s="24" t="n"/>
      <c r="X7" s="24" t="n"/>
      <c r="Y7" s="24" t="n"/>
      <c r="Z7" s="24" t="n"/>
      <c r="AA7" s="24" t="n"/>
      <c r="AB7" s="24" t="n"/>
      <c r="AC7" s="24" t="n"/>
      <c r="AD7" s="24" t="n"/>
      <c r="AE7" s="24" t="n"/>
      <c r="AF7" s="24" t="n"/>
      <c r="AG7" s="24" t="n"/>
      <c r="AH7" s="24" t="n"/>
      <c r="AI7" s="24" t="n"/>
      <c r="AJ7" s="24" t="n"/>
      <c r="AK7" s="24" t="n"/>
      <c r="AL7" s="24" t="n"/>
      <c r="AM7" s="24" t="n"/>
      <c r="AN7" s="24" t="n"/>
      <c r="AO7" s="24" t="n"/>
      <c r="AP7" s="24" t="n"/>
      <c r="AQ7" s="24" t="n"/>
      <c r="AR7" s="24" t="n"/>
      <c r="AS7" s="24" t="n"/>
      <c r="AT7" s="24" t="n"/>
      <c r="AU7" s="24" t="n"/>
      <c r="AV7" s="24" t="n"/>
      <c r="AW7" s="24" t="n"/>
      <c r="AX7" s="24" t="n"/>
      <c r="AY7" s="24" t="n"/>
      <c r="AZ7" s="24" t="n"/>
      <c r="BA7" s="24" t="n"/>
      <c r="BB7" s="24" t="n"/>
      <c r="BC7" s="24" t="n"/>
      <c r="BD7" s="24" t="n"/>
      <c r="BE7" s="24" t="n"/>
      <c r="BF7" s="24" t="n"/>
      <c r="BG7" s="24" t="n"/>
      <c r="BH7" s="24" t="n"/>
      <c r="BI7" s="24" t="n"/>
      <c r="BJ7" s="24" t="n"/>
      <c r="BK7" s="24" t="n"/>
      <c r="BL7" s="24" t="n"/>
      <c r="BM7" s="24" t="n"/>
      <c r="BN7" s="24" t="n"/>
      <c r="BO7" s="24" t="n"/>
      <c r="BP7" s="24" t="n"/>
      <c r="BQ7" s="24" t="n"/>
    </row>
    <row r="8" ht="14" customFormat="1" customHeight="1" s="2">
      <c r="A8" s="18" t="inlineStr">
        <is>
          <t>1.6.15.371</t>
        </is>
      </c>
      <c r="B8" s="19" t="n"/>
      <c r="C8" s="20" t="n"/>
      <c r="D8" s="19" t="inlineStr">
        <is>
          <t>WO-ZZ00020709</t>
        </is>
      </c>
      <c r="E8" s="21" t="inlineStr">
        <is>
          <t>EQ Pants Big Pack XL 24s+2x8 2025-12-16</t>
        </is>
      </c>
      <c r="F8" t="inlineStr">
        <is>
          <t>XL</t>
        </is>
      </c>
      <c r="G8" s="19" t="n">
        <v>26</v>
      </c>
      <c r="H8" s="19" t="n">
        <v>8</v>
      </c>
      <c r="I8" s="118" t="n"/>
      <c r="J8" s="117" t="n"/>
      <c r="K8" s="19" t="n">
        <v>4000</v>
      </c>
      <c r="L8" s="19">
        <f>F7*G7*J7</f>
        <v/>
      </c>
      <c r="M8" s="19" t="n">
        <v>0</v>
      </c>
      <c r="N8" s="24" t="n"/>
      <c r="O8" s="24" t="n">
        <v>2038</v>
      </c>
      <c r="P8" s="24" t="n">
        <v>1962</v>
      </c>
      <c r="Q8" s="24" t="n"/>
      <c r="R8" s="24" t="n"/>
      <c r="S8" s="24" t="n"/>
      <c r="T8" s="24" t="n"/>
      <c r="U8" s="24" t="n"/>
      <c r="V8" s="24" t="n"/>
      <c r="W8" s="24" t="n"/>
      <c r="X8" s="24" t="n"/>
      <c r="Y8" s="24" t="n"/>
      <c r="Z8" s="24" t="n"/>
      <c r="AA8" s="24" t="n"/>
      <c r="AB8" s="24" t="n"/>
      <c r="AC8" s="24" t="n"/>
      <c r="AD8" s="24" t="n"/>
      <c r="AE8" s="24" t="n"/>
      <c r="AF8" s="24" t="n"/>
      <c r="AG8" s="24" t="n"/>
      <c r="AH8" s="24" t="n"/>
      <c r="AI8" s="24" t="n"/>
      <c r="AJ8" s="24" t="n"/>
      <c r="AK8" s="24" t="n"/>
      <c r="AL8" s="24" t="n"/>
      <c r="AM8" s="24" t="n"/>
      <c r="AN8" s="24" t="n"/>
      <c r="AO8" s="24" t="n"/>
      <c r="AP8" s="24" t="n"/>
      <c r="AQ8" s="24" t="n"/>
      <c r="AR8" s="24" t="n"/>
      <c r="AS8" s="24" t="n"/>
      <c r="AT8" s="24" t="n"/>
      <c r="AU8" s="24" t="n"/>
      <c r="AV8" s="24" t="n"/>
      <c r="AW8" s="24" t="n"/>
      <c r="AX8" s="24" t="n"/>
      <c r="AY8" s="24" t="n"/>
      <c r="AZ8" s="24" t="n"/>
      <c r="BA8" s="24" t="n"/>
      <c r="BB8" s="24" t="n"/>
      <c r="BC8" s="24" t="n"/>
      <c r="BD8" s="24" t="n"/>
      <c r="BE8" s="24" t="n"/>
      <c r="BF8" s="24" t="n"/>
      <c r="BG8" s="24" t="n"/>
      <c r="BH8" s="24" t="n"/>
      <c r="BI8" s="24" t="n"/>
      <c r="BJ8" s="24" t="n"/>
      <c r="BK8" s="24" t="n"/>
      <c r="BL8" s="24" t="n"/>
      <c r="BM8" s="24" t="n"/>
      <c r="BN8" s="24" t="n"/>
      <c r="BO8" s="24" t="n"/>
      <c r="BP8" s="24" t="n"/>
      <c r="BQ8" s="24" t="n"/>
    </row>
    <row r="9" ht="15.5" customFormat="1" customHeight="1" s="2">
      <c r="A9" s="18" t="inlineStr">
        <is>
          <t>1.6.15.372</t>
        </is>
      </c>
      <c r="B9" s="19" t="n"/>
      <c r="C9" s="20" t="n"/>
      <c r="D9" s="19" t="inlineStr">
        <is>
          <t>WO-ZZ00020708</t>
        </is>
      </c>
      <c r="E9" s="21" t="inlineStr">
        <is>
          <t>EQ Pants Jumbo Pack XL (40s+6) x6 2025-12-16</t>
        </is>
      </c>
      <c r="F9" t="inlineStr">
        <is>
          <t>XL</t>
        </is>
      </c>
      <c r="G9" s="19" t="n">
        <v>46</v>
      </c>
      <c r="H9" s="19" t="n">
        <v>6</v>
      </c>
      <c r="I9" s="118" t="n"/>
      <c r="J9" s="117" t="n"/>
      <c r="K9" s="19" t="n">
        <v>3000</v>
      </c>
      <c r="L9" s="19">
        <f>F8*G8*J8</f>
        <v/>
      </c>
      <c r="M9" s="19" t="n">
        <v>0</v>
      </c>
      <c r="N9" s="24" t="n"/>
      <c r="O9" s="24" t="n"/>
      <c r="P9" s="24" t="n">
        <v>554</v>
      </c>
      <c r="Q9" s="24" t="n">
        <v>2033</v>
      </c>
      <c r="R9" s="24" t="n"/>
      <c r="S9" s="24" t="n">
        <v>413</v>
      </c>
      <c r="T9" s="24" t="n"/>
      <c r="U9" s="24" t="n"/>
      <c r="V9" s="24" t="n"/>
      <c r="W9" s="24" t="n"/>
      <c r="X9" s="24" t="n"/>
      <c r="Y9" s="24" t="n"/>
      <c r="Z9" s="24" t="n"/>
      <c r="AA9" s="24" t="n"/>
      <c r="AB9" s="24" t="n"/>
      <c r="AC9" s="24" t="n"/>
      <c r="AD9" s="24" t="n"/>
      <c r="AE9" s="24" t="n"/>
      <c r="AF9" s="24" t="n"/>
      <c r="AG9" s="24" t="n"/>
      <c r="AH9" s="24" t="n"/>
      <c r="AI9" s="24" t="n"/>
      <c r="AJ9" s="24" t="n"/>
      <c r="AK9" s="24" t="n"/>
      <c r="AL9" s="24" t="n"/>
      <c r="AM9" s="24" t="n"/>
      <c r="AN9" s="24" t="n"/>
      <c r="AO9" s="24" t="n"/>
      <c r="AP9" s="24" t="n"/>
      <c r="AQ9" s="24" t="n"/>
      <c r="AR9" s="24" t="n"/>
      <c r="AS9" s="24" t="n"/>
      <c r="AT9" s="24" t="n"/>
      <c r="AU9" s="24" t="n"/>
      <c r="AV9" s="24" t="n"/>
      <c r="AW9" s="24" t="n"/>
      <c r="AX9" s="24" t="n"/>
      <c r="AY9" s="24" t="n"/>
      <c r="AZ9" s="24" t="n"/>
      <c r="BA9" s="24" t="n"/>
      <c r="BB9" s="24" t="n"/>
      <c r="BC9" s="24" t="n"/>
      <c r="BD9" s="24" t="n"/>
      <c r="BE9" s="24" t="n"/>
      <c r="BF9" s="24" t="n"/>
      <c r="BG9" s="24" t="n"/>
      <c r="BH9" s="24" t="n"/>
      <c r="BI9" s="24" t="n"/>
      <c r="BJ9" s="24" t="n"/>
      <c r="BK9" s="24" t="n"/>
      <c r="BL9" s="24" t="n"/>
      <c r="BM9" s="24" t="n"/>
      <c r="BN9" s="24" t="n"/>
      <c r="BO9" s="24" t="n"/>
      <c r="BP9" s="24" t="n"/>
      <c r="BQ9" s="24" t="n"/>
    </row>
    <row r="10" ht="17" customFormat="1" customHeight="1" s="2">
      <c r="A10" s="18" t="inlineStr">
        <is>
          <t>1.6.15.371</t>
        </is>
      </c>
      <c r="B10" s="19" t="n"/>
      <c r="C10" s="20" t="n"/>
      <c r="D10" s="19" t="n"/>
      <c r="E10" s="21" t="inlineStr">
        <is>
          <t>EQ Pants Big Pack XL 24s+2x8 2025-12-16</t>
        </is>
      </c>
      <c r="F10" t="inlineStr">
        <is>
          <t>XL</t>
        </is>
      </c>
      <c r="G10" s="19" t="n">
        <v>26</v>
      </c>
      <c r="H10" s="19" t="n">
        <v>8</v>
      </c>
      <c r="I10" s="118" t="n"/>
      <c r="J10" s="117" t="n"/>
      <c r="K10" s="19" t="n">
        <v>4000</v>
      </c>
      <c r="L10" s="19">
        <f>F9*G9*J9</f>
        <v/>
      </c>
      <c r="M10" s="19" t="n">
        <v>0</v>
      </c>
      <c r="N10" s="24" t="n"/>
      <c r="O10" s="24" t="n"/>
      <c r="P10" s="24" t="n"/>
      <c r="Q10" s="24" t="n"/>
      <c r="R10" s="24" t="n"/>
      <c r="S10" s="24" t="n">
        <v>2149</v>
      </c>
      <c r="T10" s="24" t="n">
        <v>1851</v>
      </c>
      <c r="U10" s="24" t="n"/>
      <c r="V10" s="24" t="n"/>
      <c r="W10" s="24" t="n"/>
      <c r="X10" s="24" t="n"/>
      <c r="Y10" s="24" t="n"/>
      <c r="Z10" s="24" t="n"/>
      <c r="AA10" s="24" t="n"/>
      <c r="AB10" s="24" t="n"/>
      <c r="AC10" s="24" t="n"/>
      <c r="AD10" s="24" t="n"/>
      <c r="AE10" s="24" t="n"/>
      <c r="AF10" s="24" t="n"/>
      <c r="AG10" s="24" t="n"/>
      <c r="AH10" s="24" t="n"/>
      <c r="AI10" s="24" t="n"/>
      <c r="AJ10" s="24" t="n"/>
      <c r="AK10" s="24" t="n"/>
      <c r="AL10" s="24" t="n"/>
      <c r="AM10" s="24" t="n"/>
      <c r="AN10" s="24" t="n"/>
      <c r="AO10" s="24" t="n"/>
      <c r="AP10" s="24" t="n"/>
      <c r="AQ10" s="24" t="n"/>
      <c r="AR10" s="24" t="n"/>
      <c r="AS10" s="24" t="n"/>
      <c r="AT10" s="24" t="n"/>
      <c r="AU10" s="24" t="n"/>
      <c r="AV10" s="24" t="n"/>
      <c r="AW10" s="24" t="n"/>
      <c r="AX10" s="24" t="n"/>
      <c r="AY10" s="24" t="n"/>
      <c r="AZ10" s="24" t="n"/>
      <c r="BA10" s="24" t="n"/>
      <c r="BB10" s="24" t="n"/>
      <c r="BC10" s="24" t="n"/>
      <c r="BD10" s="24" t="n"/>
      <c r="BE10" s="24" t="n"/>
      <c r="BF10" s="24" t="n"/>
      <c r="BG10" s="24" t="n"/>
      <c r="BH10" s="24" t="n"/>
      <c r="BI10" s="24" t="n"/>
      <c r="BJ10" s="24" t="n"/>
      <c r="BK10" s="24" t="n"/>
      <c r="BL10" s="24" t="n"/>
      <c r="BM10" s="24" t="n"/>
      <c r="BN10" s="24" t="n"/>
      <c r="BO10" s="24" t="n"/>
      <c r="BP10" s="24" t="n"/>
      <c r="BQ10" s="24" t="n"/>
    </row>
    <row r="11" ht="15.5" customFormat="1" customHeight="1" s="2">
      <c r="A11" s="18" t="inlineStr">
        <is>
          <t>1.6.15.372</t>
        </is>
      </c>
      <c r="B11" s="19" t="n"/>
      <c r="C11" s="20" t="n"/>
      <c r="D11" s="25" t="inlineStr">
        <is>
          <t>WO-ZZ00020618</t>
        </is>
      </c>
      <c r="E11" s="21" t="inlineStr">
        <is>
          <t>EQ Pants Jumbo Pack XL (40s+6) x6 2025-12-16</t>
        </is>
      </c>
      <c r="F11" t="inlineStr">
        <is>
          <t>XL</t>
        </is>
      </c>
      <c r="G11" s="19" t="n">
        <v>46</v>
      </c>
      <c r="H11" s="19" t="n">
        <v>6</v>
      </c>
      <c r="I11" s="118" t="n"/>
      <c r="J11" s="117" t="n"/>
      <c r="K11" s="19" t="n">
        <v>9000</v>
      </c>
      <c r="L11" s="19">
        <f>F10*G10*J10</f>
        <v/>
      </c>
      <c r="M11" s="19" t="n">
        <v>0</v>
      </c>
      <c r="N11" s="24" t="n"/>
      <c r="O11" s="24" t="n"/>
      <c r="P11" s="24" t="n"/>
      <c r="Q11" s="24" t="n"/>
      <c r="R11" s="24" t="n"/>
      <c r="S11" s="24" t="n"/>
      <c r="T11" s="24" t="n">
        <v>638</v>
      </c>
      <c r="U11" s="24" t="n">
        <v>2033</v>
      </c>
      <c r="V11" s="24" t="n">
        <v>2033</v>
      </c>
      <c r="W11" s="24" t="n">
        <v>2033</v>
      </c>
      <c r="X11" s="24" t="n">
        <v>2033</v>
      </c>
      <c r="Y11" s="24" t="n"/>
      <c r="Z11" s="24" t="n">
        <v>230</v>
      </c>
      <c r="AA11" s="24" t="n"/>
      <c r="AB11" s="24" t="n"/>
      <c r="AC11" s="24" t="n"/>
      <c r="AD11" s="24" t="n"/>
      <c r="AE11" s="24" t="n"/>
      <c r="AF11" s="24" t="n"/>
      <c r="AG11" s="24" t="n"/>
      <c r="AH11" s="24" t="n"/>
      <c r="AI11" s="24" t="n"/>
      <c r="AJ11" s="24" t="n"/>
      <c r="AK11" s="24" t="n"/>
      <c r="AL11" s="24" t="n"/>
      <c r="AM11" s="24" t="n"/>
      <c r="AN11" s="24" t="n"/>
      <c r="AO11" s="24" t="n"/>
      <c r="AP11" s="24" t="n"/>
      <c r="AQ11" s="24" t="n"/>
      <c r="AR11" s="24" t="n"/>
      <c r="AS11" s="24" t="n"/>
      <c r="AT11" s="24" t="n"/>
      <c r="AU11" s="24" t="n"/>
      <c r="AV11" s="24" t="n"/>
      <c r="AW11" s="24" t="n"/>
      <c r="AX11" s="24" t="n"/>
      <c r="AY11" s="24" t="n"/>
      <c r="AZ11" s="24" t="n"/>
      <c r="BA11" s="24" t="n"/>
      <c r="BB11" s="24" t="n"/>
      <c r="BC11" s="24" t="n"/>
      <c r="BD11" s="24" t="n"/>
      <c r="BE11" s="24" t="n"/>
      <c r="BF11" s="24" t="n"/>
      <c r="BG11" s="24" t="n"/>
      <c r="BH11" s="24" t="n"/>
      <c r="BI11" s="24" t="n"/>
      <c r="BJ11" s="24" t="n"/>
      <c r="BK11" s="24" t="n"/>
      <c r="BL11" s="24" t="n"/>
      <c r="BM11" s="24" t="n"/>
      <c r="BN11" s="24" t="n"/>
      <c r="BO11" s="24" t="n"/>
      <c r="BP11" s="24" t="n"/>
      <c r="BQ11" s="24" t="n"/>
    </row>
    <row r="12" ht="15.5" customHeight="1" s="91">
      <c r="A12" s="18" t="inlineStr">
        <is>
          <t>1.6.15.372</t>
        </is>
      </c>
      <c r="B12" s="19" t="n"/>
      <c r="C12" s="20" t="n"/>
      <c r="D12" s="19" t="inlineStr">
        <is>
          <t>WO-ZZ00020710</t>
        </is>
      </c>
      <c r="E12" s="21" t="inlineStr">
        <is>
          <t>EQ Pants Jumbo Pack XL (40s+6) x6 2025-12-16</t>
        </is>
      </c>
      <c r="F12" t="inlineStr">
        <is>
          <t>XL</t>
        </is>
      </c>
      <c r="G12" s="19" t="n">
        <v>46</v>
      </c>
      <c r="H12" s="19" t="n">
        <v>6</v>
      </c>
      <c r="I12" s="118" t="n"/>
      <c r="J12" s="117" t="n"/>
      <c r="K12" s="19" t="n">
        <v>10000</v>
      </c>
      <c r="L12" s="19">
        <f>F11*G11*J11</f>
        <v/>
      </c>
      <c r="M12" s="19" t="n">
        <v>0</v>
      </c>
      <c r="N12" s="24" t="n"/>
      <c r="O12" s="24" t="n"/>
      <c r="P12" s="24" t="n"/>
      <c r="Q12" s="24" t="n"/>
      <c r="R12" s="24" t="n"/>
      <c r="S12" s="24" t="n"/>
      <c r="T12" s="24" t="n"/>
      <c r="U12" s="24" t="n"/>
      <c r="V12" s="24" t="n"/>
      <c r="W12" s="24" t="n"/>
      <c r="X12" s="24" t="n"/>
      <c r="Y12" s="24" t="n"/>
      <c r="Z12" s="24" t="n">
        <v>1803</v>
      </c>
      <c r="AA12" s="24" t="n">
        <v>2033</v>
      </c>
      <c r="AB12" s="24" t="n">
        <v>2033</v>
      </c>
      <c r="AC12" s="24" t="n">
        <v>2033</v>
      </c>
      <c r="AD12" s="24" t="n">
        <v>2033</v>
      </c>
      <c r="AE12" s="24" t="n">
        <v>65</v>
      </c>
      <c r="AF12" s="24" t="n"/>
      <c r="AG12" s="24" t="n"/>
      <c r="AH12" s="24" t="n"/>
      <c r="AI12" s="24" t="n"/>
      <c r="AJ12" s="24" t="n"/>
      <c r="AK12" s="24" t="n"/>
      <c r="AL12" s="24" t="n"/>
      <c r="AM12" s="24" t="n"/>
      <c r="AN12" s="24" t="n"/>
      <c r="AO12" s="24" t="n"/>
      <c r="AP12" s="24" t="n"/>
      <c r="AQ12" s="24" t="n"/>
      <c r="AR12" s="24" t="n"/>
      <c r="AS12" s="24" t="n"/>
      <c r="AT12" s="24" t="n"/>
      <c r="AU12" s="24" t="n"/>
      <c r="AV12" s="24" t="n"/>
      <c r="AW12" s="24" t="n"/>
      <c r="AX12" s="24" t="n"/>
      <c r="AY12" s="24" t="n"/>
      <c r="AZ12" s="24" t="n"/>
      <c r="BA12" s="24" t="n"/>
      <c r="BB12" s="24" t="n"/>
      <c r="BC12" s="24" t="n"/>
      <c r="BD12" s="24" t="n"/>
      <c r="BE12" s="24" t="n"/>
      <c r="BF12" s="24" t="n"/>
      <c r="BG12" s="24" t="n"/>
      <c r="BH12" s="24" t="n"/>
      <c r="BI12" s="24" t="n"/>
      <c r="BJ12" s="24" t="n"/>
      <c r="BK12" s="24" t="n"/>
      <c r="BL12" s="24" t="n"/>
      <c r="BM12" s="24" t="n"/>
      <c r="BN12" s="24" t="n"/>
      <c r="BO12" s="24" t="n"/>
      <c r="BP12" s="24" t="n"/>
      <c r="BQ12" s="24" t="n"/>
    </row>
    <row r="13" ht="15.5" customFormat="1" customHeight="1" s="2">
      <c r="A13" s="26" t="inlineStr">
        <is>
          <t>1.6.14.354</t>
        </is>
      </c>
      <c r="B13" s="26" t="n"/>
      <c r="C13" s="26" t="n"/>
      <c r="D13" s="19" t="inlineStr">
        <is>
          <t>WO-ZZ00020615</t>
        </is>
      </c>
      <c r="E13" s="27" t="inlineStr">
        <is>
          <t>EQ Pants Jumbo Pack L (40s+6) x6 2025-12-16</t>
        </is>
      </c>
      <c r="F13" t="inlineStr">
        <is>
          <t>L</t>
        </is>
      </c>
      <c r="G13" s="26" t="n">
        <v>46</v>
      </c>
      <c r="H13" s="26" t="n">
        <v>6</v>
      </c>
      <c r="I13" s="117" t="n"/>
      <c r="J13" s="117" t="n"/>
      <c r="K13" s="19" t="n">
        <v>4000</v>
      </c>
      <c r="L13" s="19">
        <f>J12*F12*G12</f>
        <v/>
      </c>
      <c r="M13" s="19" t="n">
        <v>0</v>
      </c>
      <c r="N13" s="24" t="n"/>
      <c r="O13" s="24" t="n"/>
      <c r="P13" s="24" t="n"/>
      <c r="Q13" s="24" t="n"/>
      <c r="R13" s="24" t="n"/>
      <c r="S13" s="24" t="n"/>
      <c r="T13" s="24" t="n"/>
      <c r="U13" s="24" t="n"/>
      <c r="V13" s="24" t="n"/>
      <c r="W13" s="24" t="n"/>
      <c r="X13" s="24" t="n"/>
      <c r="Y13" s="24" t="n"/>
      <c r="Z13" s="24" t="n"/>
      <c r="AA13" s="24" t="n"/>
      <c r="AB13" s="24" t="n"/>
      <c r="AC13" s="24" t="n"/>
      <c r="AD13" s="24" t="n"/>
      <c r="AE13" s="24" t="n">
        <v>1968</v>
      </c>
      <c r="AF13" s="24" t="n"/>
      <c r="AG13" s="24" t="n">
        <v>2032</v>
      </c>
      <c r="AH13" s="24" t="n"/>
      <c r="AI13" s="24" t="n"/>
      <c r="AJ13" s="24" t="n"/>
      <c r="AK13" s="24" t="n"/>
      <c r="AL13" s="24" t="n"/>
      <c r="AM13" s="24" t="n"/>
      <c r="AN13" s="24" t="n"/>
      <c r="AO13" s="24" t="n"/>
      <c r="AP13" s="24" t="n"/>
      <c r="AQ13" s="24" t="n"/>
      <c r="AR13" s="24" t="n"/>
      <c r="AS13" s="24" t="n"/>
      <c r="AT13" s="24" t="n"/>
      <c r="AU13" s="24" t="n"/>
      <c r="AV13" s="24" t="n"/>
      <c r="AW13" s="24" t="n"/>
      <c r="AX13" s="24" t="n"/>
      <c r="AY13" s="24" t="n"/>
      <c r="AZ13" s="24" t="n"/>
      <c r="BA13" s="24" t="n"/>
      <c r="BB13" s="24" t="n"/>
      <c r="BC13" s="24" t="n"/>
      <c r="BD13" s="24" t="n"/>
      <c r="BE13" s="24" t="n"/>
      <c r="BF13" s="24" t="n"/>
      <c r="BG13" s="24" t="n"/>
      <c r="BH13" s="24" t="n"/>
      <c r="BI13" s="24" t="n"/>
      <c r="BJ13" s="24" t="n"/>
      <c r="BK13" s="24" t="n"/>
      <c r="BL13" s="24" t="n"/>
      <c r="BM13" s="24" t="n"/>
      <c r="BN13" s="24" t="n"/>
      <c r="BO13" s="24" t="n"/>
      <c r="BP13" s="24" t="n"/>
      <c r="BQ13" s="24" t="n"/>
    </row>
    <row r="14" ht="15.5" customFormat="1" customHeight="1" s="2">
      <c r="A14" s="18" t="inlineStr">
        <is>
          <t>1.6.15.371</t>
        </is>
      </c>
      <c r="B14" s="19" t="n"/>
      <c r="C14" s="20" t="n"/>
      <c r="D14" s="19" t="inlineStr">
        <is>
          <t>WO-ZZ00020619</t>
        </is>
      </c>
      <c r="E14" s="21" t="inlineStr">
        <is>
          <t>EQ Pants Big Pack XL 24s+2x8 2025-12-16</t>
        </is>
      </c>
      <c r="F14" t="inlineStr">
        <is>
          <t>XL</t>
        </is>
      </c>
      <c r="G14" s="19" t="n">
        <v>26</v>
      </c>
      <c r="H14" s="19" t="n">
        <v>8</v>
      </c>
      <c r="I14" s="118" t="n"/>
      <c r="J14" s="117" t="n"/>
      <c r="K14" s="19" t="n">
        <v>7000</v>
      </c>
      <c r="L14" s="19">
        <f>F13*G13*J13</f>
        <v/>
      </c>
      <c r="M14" s="19" t="n">
        <v>0</v>
      </c>
      <c r="N14" s="24" t="n"/>
      <c r="O14" s="24" t="n"/>
      <c r="P14" s="24" t="n"/>
      <c r="Q14" s="24" t="n"/>
      <c r="R14" s="24" t="n"/>
      <c r="S14" s="24" t="n"/>
      <c r="T14" s="24" t="n"/>
      <c r="U14" s="24" t="n"/>
      <c r="V14" s="24" t="n"/>
      <c r="W14" s="24" t="n"/>
      <c r="X14" s="24" t="n"/>
      <c r="Y14" s="24" t="n"/>
      <c r="Z14" s="24" t="n"/>
      <c r="AA14" s="24" t="n"/>
      <c r="AB14" s="24" t="n"/>
      <c r="AC14" s="24" t="n"/>
      <c r="AD14" s="24" t="n"/>
      <c r="AE14" s="24" t="n"/>
      <c r="AF14" s="24" t="n"/>
      <c r="AG14" s="24" t="n"/>
      <c r="AH14" s="24" t="n">
        <v>2697</v>
      </c>
      <c r="AI14" s="24" t="n">
        <v>2697</v>
      </c>
      <c r="AJ14" s="24" t="n">
        <v>1606</v>
      </c>
      <c r="AK14" s="24" t="n"/>
      <c r="AL14" s="24" t="n"/>
      <c r="AM14" s="24" t="n"/>
      <c r="AN14" s="24" t="n"/>
      <c r="AO14" s="24" t="n"/>
      <c r="AP14" s="24" t="n"/>
      <c r="AQ14" s="24" t="n"/>
      <c r="AR14" s="24" t="n"/>
      <c r="AS14" s="24" t="n"/>
      <c r="AT14" s="24" t="n"/>
      <c r="AU14" s="24" t="n"/>
      <c r="AV14" s="24" t="n"/>
      <c r="AW14" s="24" t="n"/>
      <c r="AX14" s="24" t="n"/>
      <c r="AY14" s="24" t="n"/>
      <c r="AZ14" s="24" t="n"/>
      <c r="BA14" s="24" t="n"/>
      <c r="BB14" s="24" t="n"/>
      <c r="BC14" s="24" t="n"/>
      <c r="BD14" s="24" t="n"/>
      <c r="BE14" s="24" t="n"/>
      <c r="BF14" s="24" t="n"/>
      <c r="BG14" s="24" t="n"/>
      <c r="BH14" s="24" t="n"/>
      <c r="BI14" s="24" t="n"/>
      <c r="BJ14" s="24" t="n"/>
      <c r="BK14" s="24" t="n"/>
      <c r="BL14" s="24" t="n"/>
      <c r="BM14" s="24" t="n"/>
      <c r="BN14" s="24" t="n"/>
      <c r="BO14" s="24" t="n"/>
      <c r="BP14" s="24" t="n"/>
      <c r="BQ14" s="24" t="n"/>
    </row>
    <row r="15" ht="15.5" customFormat="1" customHeight="1" s="2">
      <c r="A15" s="18" t="inlineStr">
        <is>
          <t>1.6.15.370</t>
        </is>
      </c>
      <c r="B15" s="19" t="n"/>
      <c r="C15" s="20" t="n"/>
      <c r="D15" s="19" t="n"/>
      <c r="E15" s="21" t="inlineStr">
        <is>
          <t>EQ Pants Mini Pack XL 4s x 40 2025-12-16</t>
        </is>
      </c>
      <c r="F15" t="inlineStr">
        <is>
          <t>XL</t>
        </is>
      </c>
      <c r="G15" s="19" t="n">
        <v>40</v>
      </c>
      <c r="H15" s="19" t="n">
        <v>4</v>
      </c>
      <c r="I15" s="118" t="n"/>
      <c r="J15" s="117" t="n"/>
      <c r="K15" s="19" t="n">
        <v>2000</v>
      </c>
      <c r="L15" s="19">
        <f>F14*G14*J14</f>
        <v/>
      </c>
      <c r="M15" s="19" t="n">
        <v>0</v>
      </c>
      <c r="N15" s="24" t="n"/>
      <c r="O15" s="24" t="n"/>
      <c r="P15" s="24" t="n"/>
      <c r="Q15" s="24" t="n"/>
      <c r="R15" s="24" t="n"/>
      <c r="S15" s="24" t="n"/>
      <c r="T15" s="24" t="n"/>
      <c r="U15" s="24" t="n"/>
      <c r="V15" s="24" t="n"/>
      <c r="W15" s="24" t="n"/>
      <c r="X15" s="24" t="n"/>
      <c r="Y15" s="24" t="n"/>
      <c r="Z15" s="24" t="n"/>
      <c r="AA15" s="24" t="n"/>
      <c r="AB15" s="24" t="n"/>
      <c r="AC15" s="24" t="n"/>
      <c r="AD15" s="24" t="n"/>
      <c r="AE15" s="24" t="n"/>
      <c r="AF15" s="24" t="n"/>
      <c r="AG15" s="24" t="n"/>
      <c r="AH15" s="24" t="n"/>
      <c r="AI15" s="24" t="n"/>
      <c r="AJ15" s="24" t="n">
        <v>1418</v>
      </c>
      <c r="AK15" s="24" t="n">
        <v>582</v>
      </c>
      <c r="AL15" s="24" t="n"/>
      <c r="AM15" s="24" t="n"/>
      <c r="AN15" s="24" t="n"/>
      <c r="AO15" s="24" t="n"/>
      <c r="AP15" s="24" t="n"/>
      <c r="AQ15" s="24" t="n"/>
      <c r="AR15" s="24" t="n"/>
      <c r="AS15" s="24" t="n"/>
      <c r="AT15" s="24" t="n"/>
      <c r="AU15" s="24" t="n"/>
      <c r="AV15" s="24" t="n"/>
      <c r="AW15" s="24" t="n"/>
      <c r="AX15" s="24" t="n"/>
      <c r="AY15" s="24" t="n"/>
      <c r="AZ15" s="24" t="n"/>
      <c r="BA15" s="24" t="n"/>
      <c r="BB15" s="24" t="n"/>
      <c r="BC15" s="24" t="n"/>
      <c r="BD15" s="24" t="n"/>
      <c r="BE15" s="24" t="n"/>
      <c r="BF15" s="24" t="n"/>
      <c r="BG15" s="24" t="n"/>
      <c r="BH15" s="24" t="n"/>
      <c r="BI15" s="24" t="n"/>
      <c r="BJ15" s="24" t="n"/>
      <c r="BK15" s="24" t="n"/>
      <c r="BL15" s="24" t="n"/>
      <c r="BM15" s="24" t="n"/>
      <c r="BN15" s="24" t="n"/>
      <c r="BO15" s="24" t="n"/>
      <c r="BP15" s="24" t="n"/>
      <c r="BQ15" s="24" t="n"/>
    </row>
    <row r="16" ht="15.5" customFormat="1" customHeight="1" s="2">
      <c r="A16" s="18" t="inlineStr">
        <is>
          <t>1.6.15.372</t>
        </is>
      </c>
      <c r="B16" s="19" t="n"/>
      <c r="C16" s="20" t="n"/>
      <c r="D16" s="19" t="n"/>
      <c r="E16" s="21" t="inlineStr">
        <is>
          <t>EQ Pants Jumbo Pack XL (40s+6) x6 2025-12-16</t>
        </is>
      </c>
      <c r="F16" t="inlineStr">
        <is>
          <t>XL</t>
        </is>
      </c>
      <c r="G16" s="19" t="n">
        <v>46</v>
      </c>
      <c r="H16" s="19" t="n">
        <v>6</v>
      </c>
      <c r="I16" s="118" t="n"/>
      <c r="J16" s="117" t="n"/>
      <c r="K16" s="19" t="n">
        <v>10000</v>
      </c>
      <c r="L16" s="19">
        <f>F15*G15*J15</f>
        <v/>
      </c>
      <c r="M16" s="19" t="n">
        <v>0</v>
      </c>
      <c r="N16" s="24" t="n"/>
      <c r="O16" s="24" t="n"/>
      <c r="P16" s="24" t="n"/>
      <c r="Q16" s="24" t="n"/>
      <c r="R16" s="24" t="n"/>
      <c r="S16" s="24" t="n"/>
      <c r="T16" s="24" t="n"/>
      <c r="U16" s="24" t="n"/>
      <c r="V16" s="24" t="n"/>
      <c r="W16" s="24" t="n"/>
      <c r="X16" s="24" t="n"/>
      <c r="Y16" s="24" t="n"/>
      <c r="Z16" s="24" t="n"/>
      <c r="AA16" s="24" t="n"/>
      <c r="AB16" s="24" t="n"/>
      <c r="AC16" s="24" t="n"/>
      <c r="AD16" s="24" t="n"/>
      <c r="AE16" s="24" t="n"/>
      <c r="AF16" s="24" t="n"/>
      <c r="AG16" s="24" t="n"/>
      <c r="AH16" s="24" t="n"/>
      <c r="AI16" s="24" t="n"/>
      <c r="AJ16" s="24" t="n"/>
      <c r="AK16" s="24" t="n">
        <v>1695</v>
      </c>
      <c r="AL16" s="24" t="n">
        <v>2033</v>
      </c>
      <c r="AM16" s="24" t="n"/>
      <c r="AN16" s="24" t="n">
        <v>2033</v>
      </c>
      <c r="AO16" s="24" t="n">
        <v>2033</v>
      </c>
      <c r="AP16" s="24" t="n">
        <v>2033</v>
      </c>
      <c r="AQ16" s="24" t="n">
        <v>173</v>
      </c>
      <c r="AR16" s="24" t="n"/>
      <c r="AS16" s="24" t="n"/>
      <c r="AT16" s="24" t="n"/>
      <c r="AU16" s="24" t="n"/>
      <c r="AV16" s="24" t="n"/>
      <c r="AW16" s="24" t="n"/>
      <c r="AX16" s="24" t="n"/>
      <c r="AY16" s="24" t="n"/>
      <c r="AZ16" s="24" t="n"/>
      <c r="BA16" s="24" t="n"/>
      <c r="BB16" s="24" t="n"/>
      <c r="BC16" s="24" t="n"/>
      <c r="BD16" s="24" t="n"/>
      <c r="BE16" s="24" t="n"/>
      <c r="BF16" s="24" t="n"/>
      <c r="BG16" s="24" t="n"/>
      <c r="BH16" s="24" t="n"/>
      <c r="BI16" s="24" t="n"/>
      <c r="BJ16" s="24" t="n"/>
      <c r="BK16" s="24" t="n"/>
      <c r="BL16" s="24" t="n"/>
      <c r="BM16" s="24" t="n"/>
      <c r="BN16" s="24" t="n"/>
      <c r="BO16" s="24" t="n"/>
      <c r="BP16" s="24" t="n"/>
      <c r="BQ16" s="24" t="n"/>
    </row>
    <row r="17" ht="17" customHeight="1" s="91">
      <c r="A17" s="18" t="inlineStr">
        <is>
          <t>1.6.15.372</t>
        </is>
      </c>
      <c r="B17" s="19" t="n"/>
      <c r="C17" s="20" t="n"/>
      <c r="D17" s="19" t="n"/>
      <c r="E17" s="21" t="inlineStr">
        <is>
          <t>EQ Pants Jumbo Pack XL (40s+6) x6 2025-12-16</t>
        </is>
      </c>
      <c r="F17" t="inlineStr">
        <is>
          <t>XL</t>
        </is>
      </c>
      <c r="G17" s="19" t="n">
        <v>46</v>
      </c>
      <c r="H17" s="19" t="n">
        <v>6</v>
      </c>
      <c r="I17" s="118" t="n"/>
      <c r="J17" s="117" t="n"/>
      <c r="K17" s="19" t="n">
        <v>10000</v>
      </c>
      <c r="L17" s="19">
        <f>F16*G16*J16</f>
        <v/>
      </c>
      <c r="M17" s="19" t="n">
        <v>0</v>
      </c>
      <c r="N17" s="24" t="n"/>
      <c r="O17" s="24" t="n"/>
      <c r="P17" s="24" t="n"/>
      <c r="Q17" s="24" t="n"/>
      <c r="R17" s="24" t="n"/>
      <c r="S17" s="24" t="n"/>
      <c r="T17" s="24" t="n"/>
      <c r="U17" s="24" t="n"/>
      <c r="V17" s="24" t="n"/>
      <c r="W17" s="24" t="n"/>
      <c r="X17" s="24" t="n"/>
      <c r="Y17" s="24" t="n"/>
      <c r="Z17" s="24" t="n"/>
      <c r="AA17" s="24" t="n"/>
      <c r="AB17" s="24" t="n"/>
      <c r="AC17" s="24" t="n"/>
      <c r="AD17" s="24" t="n"/>
      <c r="AE17" s="24" t="n"/>
      <c r="AF17" s="24" t="n"/>
      <c r="AG17" s="24" t="n"/>
      <c r="AH17" s="24" t="n"/>
      <c r="AI17" s="24" t="n"/>
      <c r="AJ17" s="24" t="n"/>
      <c r="AK17" s="24" t="n"/>
      <c r="AL17" s="24" t="n"/>
      <c r="AM17" s="24" t="n"/>
      <c r="AN17" s="24" t="n"/>
      <c r="AO17" s="24" t="n"/>
      <c r="AP17" s="24" t="n"/>
      <c r="AQ17" s="24" t="n">
        <v>1860</v>
      </c>
      <c r="AR17" s="24" t="n">
        <v>2033</v>
      </c>
      <c r="AS17" s="24" t="n">
        <v>2033</v>
      </c>
      <c r="AT17" s="24" t="n"/>
      <c r="AU17" s="24" t="n">
        <v>2033</v>
      </c>
      <c r="AV17" s="24" t="n">
        <v>2033</v>
      </c>
      <c r="AW17" s="24" t="n">
        <v>8</v>
      </c>
      <c r="AX17" s="24" t="n"/>
      <c r="AY17" s="24" t="n"/>
      <c r="AZ17" s="24" t="n"/>
      <c r="BA17" s="24" t="n"/>
      <c r="BB17" s="24" t="n"/>
      <c r="BC17" s="24" t="n"/>
      <c r="BD17" s="24" t="n"/>
      <c r="BE17" s="24" t="n"/>
      <c r="BF17" s="24" t="n"/>
      <c r="BG17" s="24" t="n"/>
      <c r="BH17" s="24" t="n"/>
      <c r="BI17" s="24" t="n"/>
      <c r="BJ17" s="24" t="n"/>
      <c r="BK17" s="24" t="n"/>
      <c r="BL17" s="24" t="n"/>
      <c r="BM17" s="24" t="n"/>
      <c r="BN17" s="24" t="n"/>
      <c r="BO17" s="24" t="n"/>
      <c r="BP17" s="24" t="n"/>
      <c r="BQ17" s="24" t="n"/>
    </row>
  </sheetData>
  <mergeCells count="3">
    <mergeCell ref="A1:H4"/>
    <mergeCell ref="I3:J4"/>
    <mergeCell ref="F5:G5"/>
  </mergeCells>
  <conditionalFormatting sqref="D6">
    <cfRule type="cellIs" priority="13" operator="equal" dxfId="1" stopIfTrue="1">
      <formula>"C-B&gt;10"</formula>
    </cfRule>
    <cfRule type="cellIs" priority="14" operator="equal" dxfId="0" stopIfTrue="1">
      <formula>"C-B&gt;30"</formula>
    </cfRule>
  </conditionalFormatting>
  <conditionalFormatting sqref="D7">
    <cfRule type="cellIs" priority="7" operator="equal" dxfId="1" stopIfTrue="1">
      <formula>"C-B&gt;10"</formula>
    </cfRule>
    <cfRule type="cellIs" priority="8" operator="equal" dxfId="0" stopIfTrue="1">
      <formula>"C-B&gt;30"</formula>
    </cfRule>
  </conditionalFormatting>
  <conditionalFormatting sqref="D10">
    <cfRule type="cellIs" priority="23" operator="equal" dxfId="1" stopIfTrue="1">
      <formula>"C-B&gt;10"</formula>
    </cfRule>
    <cfRule type="cellIs" priority="24" operator="equal" dxfId="0" stopIfTrue="1">
      <formula>"C-B&gt;30"</formula>
    </cfRule>
  </conditionalFormatting>
  <conditionalFormatting sqref="D11">
    <cfRule type="cellIs" priority="9" operator="equal" dxfId="1" stopIfTrue="1">
      <formula>"C-B&gt;10"</formula>
    </cfRule>
    <cfRule type="cellIs" priority="10" operator="equal" dxfId="0" stopIfTrue="1">
      <formula>"C-B&gt;30"</formula>
    </cfRule>
  </conditionalFormatting>
  <conditionalFormatting sqref="D12">
    <cfRule type="cellIs" priority="27" operator="equal" dxfId="1" stopIfTrue="1">
      <formula>"C-B&gt;10"</formula>
    </cfRule>
    <cfRule type="cellIs" priority="28" operator="equal" dxfId="0" stopIfTrue="1">
      <formula>"C-B&gt;30"</formula>
    </cfRule>
  </conditionalFormatting>
  <conditionalFormatting sqref="D13">
    <cfRule type="cellIs" priority="17" operator="equal" dxfId="1" stopIfTrue="1">
      <formula>"C-B&gt;10"</formula>
    </cfRule>
    <cfRule type="cellIs" priority="18" operator="equal" dxfId="0" stopIfTrue="1">
      <formula>"C-B&gt;30"</formula>
    </cfRule>
  </conditionalFormatting>
  <conditionalFormatting sqref="D14">
    <cfRule type="cellIs" priority="6" operator="equal" dxfId="0" stopIfTrue="1">
      <formula>"C-B&gt;30"</formula>
    </cfRule>
    <cfRule type="cellIs" priority="5" operator="equal" dxfId="1" stopIfTrue="1">
      <formula>"C-B&gt;10"</formula>
    </cfRule>
  </conditionalFormatting>
  <conditionalFormatting sqref="D15">
    <cfRule type="cellIs" priority="4" operator="equal" dxfId="0" stopIfTrue="1">
      <formula>"C-B&gt;30"</formula>
    </cfRule>
    <cfRule type="cellIs" priority="3" operator="equal" dxfId="1" stopIfTrue="1">
      <formula>"C-B&gt;10"</formula>
    </cfRule>
  </conditionalFormatting>
  <conditionalFormatting sqref="D16">
    <cfRule type="cellIs" priority="2" operator="equal" dxfId="0" stopIfTrue="1">
      <formula>"C-B&gt;30"</formula>
    </cfRule>
    <cfRule type="cellIs" priority="1" operator="equal" dxfId="1" stopIfTrue="1">
      <formula>"C-B&gt;10"</formula>
    </cfRule>
  </conditionalFormatting>
  <conditionalFormatting sqref="D8:D9">
    <cfRule type="cellIs" priority="11" operator="equal" dxfId="1" stopIfTrue="1">
      <formula>"C-B&gt;10"</formula>
    </cfRule>
    <cfRule type="cellIs" priority="12" operator="equal" dxfId="0" stopIfTrue="1">
      <formula>"C-B&gt;30"</formula>
    </cfRule>
  </conditionalFormatting>
  <dataValidations count="1">
    <dataValidation sqref="M2:BP2" showDropDown="0" showInputMessage="1" showErrorMessage="1" allowBlank="1" type="list">
      <formula1>"单,双"</formula1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eet16">
    <outlinePr summaryBelow="1" summaryRight="1"/>
    <pageSetUpPr/>
  </sheetPr>
  <dimension ref="A1:A1"/>
  <sheetViews>
    <sheetView workbookViewId="0">
      <selection activeCell="R13" sqref="R13"/>
    </sheetView>
  </sheetViews>
  <sheetFormatPr baseColWidth="10" defaultColWidth="9" defaultRowHeight="15"/>
  <sheetData/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eet17">
    <outlinePr summaryBelow="1" summaryRight="1"/>
    <pageSetUpPr/>
  </sheetPr>
  <dimension ref="A1:A1"/>
  <sheetViews>
    <sheetView workbookViewId="0">
      <selection activeCell="R13" sqref="R13"/>
    </sheetView>
  </sheetViews>
  <sheetFormatPr baseColWidth="10" defaultColWidth="8.83203125" defaultRowHeight="15"/>
  <sheetData/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eet18">
    <outlinePr summaryBelow="1" summaryRight="1"/>
    <pageSetUpPr/>
  </sheetPr>
  <dimension ref="A1:A1"/>
  <sheetViews>
    <sheetView workbookViewId="0">
      <selection activeCell="R13" sqref="R13"/>
    </sheetView>
  </sheetViews>
  <sheetFormatPr baseColWidth="10" defaultColWidth="8.83203125" defaultRowHeight="15"/>
  <sheetData/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 </dc:creator>
  <dcterms:created xsi:type="dcterms:W3CDTF">2026-03-01T01:19:00Z</dcterms:created>
  <dcterms:modified xsi:type="dcterms:W3CDTF">2026-05-18T05:30:26Z</dcterms:modified>
  <cp:lastModifiedBy>e60036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62A78E8019A74ADB856C7FF0F214AFD2_13</vt:lpwstr>
  </property>
  <property name="KSOProductBuildVer" fmtid="{D5CDD505-2E9C-101B-9397-08002B2CF9AE}" pid="3">
    <vt:lpwstr>2052-12.1.0.25865</vt:lpwstr>
  </property>
  <property name="CalculationRule" fmtid="{D5CDD505-2E9C-101B-9397-08002B2CF9AE}" pid="4">
    <vt:i4>1</vt:i4>
  </property>
  <property name="KSOReadingLayout" fmtid="{D5CDD505-2E9C-101B-9397-08002B2CF9AE}" pid="5">
    <vt:bool>0</vt:bool>
  </property>
</Properties>
</file>