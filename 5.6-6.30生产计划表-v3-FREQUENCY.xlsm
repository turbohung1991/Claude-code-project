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claude code project/"/>
    </mc:Choice>
  </mc:AlternateContent>
  <xr:revisionPtr revIDLastSave="0" documentId="13_ncr:1_{F17C55FC-4260-AF48-9E65-218D58E5587B}" xr6:coauthVersionLast="47" xr6:coauthVersionMax="47" xr10:uidLastSave="{00000000-0000-0000-0000-000000000000}"/>
  <bookViews>
    <workbookView xWindow="0" yWindow="660" windowWidth="34560" windowHeight="19880" tabRatio="932" activeTab="3" xr2:uid="{00000000-000D-0000-FFFF-FFFF00000000}"/>
  </bookViews>
  <sheets>
    <sheet name="设置排产" sheetId="1" r:id="rId1"/>
    <sheet name="换码设置" sheetId="2" r:id="rId2"/>
    <sheet name="AD-5#尿裤" sheetId="3" r:id="rId3"/>
    <sheet name="AD-8#尿裤" sheetId="4" r:id="rId4"/>
    <sheet name="AD-7#拉拉裤" sheetId="5" r:id="rId5"/>
    <sheet name="AD-10#拉拉裤" sheetId="6" r:id="rId6"/>
    <sheet name="AD-3#尿片" sheetId="7" r:id="rId7"/>
    <sheet name="UP-1#床垫" sheetId="8" r:id="rId8"/>
    <sheet name="UP-3#床垫" sheetId="9" r:id="rId9"/>
    <sheet name="SN-1" sheetId="10" r:id="rId10"/>
    <sheet name="SN-2" sheetId="11" r:id="rId11"/>
    <sheet name="BD-2#婴裤" sheetId="12" r:id="rId12"/>
    <sheet name="BD-3#拉拉裤" sheetId="13" r:id="rId13"/>
    <sheet name="BD-5#拉拉裤" sheetId="14" r:id="rId14"/>
    <sheet name="BD-6#拉拉裤 " sheetId="15" r:id="rId15"/>
    <sheet name="BD-7#拉拉裤" sheetId="16" r:id="rId16"/>
    <sheet name="Sheet1" sheetId="17" r:id="rId17"/>
    <sheet name="Sheet2" sheetId="18" r:id="rId18"/>
    <sheet name="Sheet3" sheetId="19" r:id="rId19"/>
  </sheets>
  <definedNames>
    <definedName name="_xlnm._FilterDatabase" localSheetId="2" hidden="1">'AD-5#尿裤'!$A$5:$BP$49</definedName>
    <definedName name="_xlnm._FilterDatabase" localSheetId="3" hidden="1">'AD-8#尿裤'!$A$5:$BP$35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4" l="1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N5" i="3"/>
  <c r="M5" i="3"/>
  <c r="K8" i="3"/>
  <c r="K37" i="3"/>
  <c r="K36" i="3"/>
  <c r="K35" i="3"/>
  <c r="K34" i="3"/>
  <c r="K33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7" i="3"/>
  <c r="K17" i="16"/>
  <c r="K16" i="16"/>
  <c r="K15" i="16"/>
  <c r="K14" i="16"/>
  <c r="K13" i="16"/>
  <c r="K12" i="16"/>
  <c r="K11" i="16"/>
  <c r="K10" i="16"/>
  <c r="K9" i="16"/>
  <c r="K8" i="16"/>
  <c r="K7" i="16"/>
  <c r="BP3" i="16"/>
  <c r="BP5" i="16" s="1"/>
  <c r="BO3" i="16"/>
  <c r="BO5" i="16" s="1"/>
  <c r="BN3" i="16"/>
  <c r="BN5" i="16" s="1"/>
  <c r="BM3" i="16"/>
  <c r="BM5" i="16" s="1"/>
  <c r="BL3" i="16"/>
  <c r="BL5" i="16" s="1"/>
  <c r="BK3" i="16"/>
  <c r="BK5" i="16" s="1"/>
  <c r="BJ3" i="16"/>
  <c r="BJ5" i="16" s="1"/>
  <c r="BI3" i="16"/>
  <c r="BI5" i="16" s="1"/>
  <c r="BH3" i="16"/>
  <c r="BH5" i="16" s="1"/>
  <c r="BG3" i="16"/>
  <c r="BG5" i="16" s="1"/>
  <c r="BF3" i="16"/>
  <c r="BF5" i="16" s="1"/>
  <c r="BE3" i="16"/>
  <c r="BE5" i="16" s="1"/>
  <c r="BD3" i="16"/>
  <c r="BD5" i="16" s="1"/>
  <c r="BC3" i="16"/>
  <c r="BC5" i="16" s="1"/>
  <c r="BB3" i="16"/>
  <c r="BB5" i="16" s="1"/>
  <c r="BA3" i="16"/>
  <c r="BA5" i="16" s="1"/>
  <c r="AZ3" i="16"/>
  <c r="AZ5" i="16" s="1"/>
  <c r="AY3" i="16"/>
  <c r="AY5" i="16" s="1"/>
  <c r="AX3" i="16"/>
  <c r="AX5" i="16" s="1"/>
  <c r="AW3" i="16"/>
  <c r="AW5" i="16" s="1"/>
  <c r="AV3" i="16"/>
  <c r="AV5" i="16" s="1"/>
  <c r="AU3" i="16"/>
  <c r="AU5" i="16" s="1"/>
  <c r="AT3" i="16"/>
  <c r="AT5" i="16" s="1"/>
  <c r="AS3" i="16"/>
  <c r="AS5" i="16" s="1"/>
  <c r="AR3" i="16"/>
  <c r="AR5" i="16" s="1"/>
  <c r="AQ3" i="16"/>
  <c r="AQ5" i="16" s="1"/>
  <c r="AP3" i="16"/>
  <c r="AP5" i="16" s="1"/>
  <c r="AO3" i="16"/>
  <c r="AO5" i="16" s="1"/>
  <c r="AN3" i="16"/>
  <c r="AN5" i="16" s="1"/>
  <c r="AM3" i="16"/>
  <c r="AM5" i="16" s="1"/>
  <c r="AL3" i="16"/>
  <c r="AL5" i="16" s="1"/>
  <c r="AK3" i="16"/>
  <c r="AK5" i="16" s="1"/>
  <c r="AJ3" i="16"/>
  <c r="AJ5" i="16" s="1"/>
  <c r="AI3" i="16"/>
  <c r="AI5" i="16" s="1"/>
  <c r="AH3" i="16"/>
  <c r="AH5" i="16" s="1"/>
  <c r="AG3" i="16"/>
  <c r="AG5" i="16" s="1"/>
  <c r="AF3" i="16"/>
  <c r="AF5" i="16" s="1"/>
  <c r="AE3" i="16"/>
  <c r="AE5" i="16" s="1"/>
  <c r="AD3" i="16"/>
  <c r="AD5" i="16" s="1"/>
  <c r="AC3" i="16"/>
  <c r="AC5" i="16" s="1"/>
  <c r="AB3" i="16"/>
  <c r="AB5" i="16" s="1"/>
  <c r="AA3" i="16"/>
  <c r="AA5" i="16" s="1"/>
  <c r="Z3" i="16"/>
  <c r="Z5" i="16" s="1"/>
  <c r="Y3" i="16"/>
  <c r="Y5" i="16" s="1"/>
  <c r="X3" i="16"/>
  <c r="X5" i="16" s="1"/>
  <c r="W3" i="16"/>
  <c r="W5" i="16" s="1"/>
  <c r="V3" i="16"/>
  <c r="V5" i="16" s="1"/>
  <c r="U3" i="16"/>
  <c r="U5" i="16" s="1"/>
  <c r="T3" i="16"/>
  <c r="T5" i="16" s="1"/>
  <c r="S3" i="16"/>
  <c r="S5" i="16" s="1"/>
  <c r="R3" i="16"/>
  <c r="R5" i="16" s="1"/>
  <c r="Q3" i="16"/>
  <c r="Q5" i="16" s="1"/>
  <c r="P3" i="16"/>
  <c r="P5" i="16" s="1"/>
  <c r="O3" i="16"/>
  <c r="O5" i="16" s="1"/>
  <c r="N3" i="16"/>
  <c r="N5" i="16" s="1"/>
  <c r="M3" i="16"/>
  <c r="M5" i="16" s="1"/>
  <c r="L4" i="16" s="1"/>
  <c r="L2" i="16"/>
  <c r="L5" i="16" s="1"/>
  <c r="K12" i="15"/>
  <c r="K11" i="15"/>
  <c r="K10" i="15"/>
  <c r="K9" i="15"/>
  <c r="K8" i="15"/>
  <c r="K7" i="15"/>
  <c r="BP3" i="15"/>
  <c r="BP5" i="15" s="1"/>
  <c r="BO3" i="15"/>
  <c r="BO5" i="15" s="1"/>
  <c r="BN3" i="15"/>
  <c r="BN5" i="15" s="1"/>
  <c r="BM3" i="15"/>
  <c r="BM5" i="15" s="1"/>
  <c r="BL3" i="15"/>
  <c r="BL5" i="15" s="1"/>
  <c r="BK3" i="15"/>
  <c r="BK5" i="15" s="1"/>
  <c r="BJ3" i="15"/>
  <c r="BJ5" i="15" s="1"/>
  <c r="BI3" i="15"/>
  <c r="BI5" i="15" s="1"/>
  <c r="BH3" i="15"/>
  <c r="BH5" i="15" s="1"/>
  <c r="BG3" i="15"/>
  <c r="BG5" i="15" s="1"/>
  <c r="BF3" i="15"/>
  <c r="BF5" i="15" s="1"/>
  <c r="BE3" i="15"/>
  <c r="BE5" i="15" s="1"/>
  <c r="BD3" i="15"/>
  <c r="BD5" i="15" s="1"/>
  <c r="BC3" i="15"/>
  <c r="BC5" i="15" s="1"/>
  <c r="BB3" i="15"/>
  <c r="BB5" i="15" s="1"/>
  <c r="BA3" i="15"/>
  <c r="BA5" i="15" s="1"/>
  <c r="AZ3" i="15"/>
  <c r="AZ5" i="15" s="1"/>
  <c r="AY3" i="15"/>
  <c r="AY5" i="15" s="1"/>
  <c r="AX3" i="15"/>
  <c r="AX5" i="15" s="1"/>
  <c r="AW3" i="15"/>
  <c r="AW5" i="15" s="1"/>
  <c r="AV3" i="15"/>
  <c r="AV5" i="15" s="1"/>
  <c r="AU3" i="15"/>
  <c r="AU5" i="15" s="1"/>
  <c r="AT3" i="15"/>
  <c r="AT5" i="15" s="1"/>
  <c r="AS3" i="15"/>
  <c r="AS5" i="15" s="1"/>
  <c r="AR3" i="15"/>
  <c r="AR5" i="15" s="1"/>
  <c r="AQ3" i="15"/>
  <c r="AQ5" i="15" s="1"/>
  <c r="AP3" i="15"/>
  <c r="AP5" i="15" s="1"/>
  <c r="AO3" i="15"/>
  <c r="AO5" i="15" s="1"/>
  <c r="AN3" i="15"/>
  <c r="AN5" i="15" s="1"/>
  <c r="AM3" i="15"/>
  <c r="AM5" i="15" s="1"/>
  <c r="AL3" i="15"/>
  <c r="AL5" i="15" s="1"/>
  <c r="AK3" i="15"/>
  <c r="AK5" i="15" s="1"/>
  <c r="AJ3" i="15"/>
  <c r="AJ5" i="15" s="1"/>
  <c r="AI3" i="15"/>
  <c r="AI5" i="15" s="1"/>
  <c r="AH3" i="15"/>
  <c r="AH5" i="15" s="1"/>
  <c r="AG3" i="15"/>
  <c r="AG5" i="15" s="1"/>
  <c r="AF3" i="15"/>
  <c r="AF5" i="15" s="1"/>
  <c r="AE3" i="15"/>
  <c r="AE5" i="15" s="1"/>
  <c r="AD3" i="15"/>
  <c r="AD5" i="15" s="1"/>
  <c r="AC3" i="15"/>
  <c r="AC5" i="15" s="1"/>
  <c r="AB3" i="15"/>
  <c r="AB5" i="15" s="1"/>
  <c r="AA3" i="15"/>
  <c r="AA5" i="15" s="1"/>
  <c r="Z3" i="15"/>
  <c r="Z5" i="15" s="1"/>
  <c r="Y3" i="15"/>
  <c r="Y5" i="15" s="1"/>
  <c r="X3" i="15"/>
  <c r="X5" i="15" s="1"/>
  <c r="W3" i="15"/>
  <c r="W5" i="15" s="1"/>
  <c r="V3" i="15"/>
  <c r="V5" i="15" s="1"/>
  <c r="U3" i="15"/>
  <c r="U5" i="15" s="1"/>
  <c r="T3" i="15"/>
  <c r="T5" i="15" s="1"/>
  <c r="S3" i="15"/>
  <c r="S5" i="15" s="1"/>
  <c r="R3" i="15"/>
  <c r="R5" i="15" s="1"/>
  <c r="Q3" i="15"/>
  <c r="Q5" i="15" s="1"/>
  <c r="P3" i="15"/>
  <c r="P5" i="15" s="1"/>
  <c r="O3" i="15"/>
  <c r="O5" i="15" s="1"/>
  <c r="N3" i="15"/>
  <c r="N5" i="15" s="1"/>
  <c r="M3" i="15"/>
  <c r="M5" i="15" s="1"/>
  <c r="L4" i="15" s="1"/>
  <c r="L2" i="15"/>
  <c r="L5" i="15" s="1"/>
  <c r="K11" i="14"/>
  <c r="K10" i="14"/>
  <c r="K9" i="14"/>
  <c r="K8" i="14"/>
  <c r="K7" i="14"/>
  <c r="BM5" i="14"/>
  <c r="BL5" i="14"/>
  <c r="BI5" i="14"/>
  <c r="BH5" i="14"/>
  <c r="BE5" i="14"/>
  <c r="BA5" i="14"/>
  <c r="AZ5" i="14"/>
  <c r="AW5" i="14"/>
  <c r="AV5" i="14"/>
  <c r="AS5" i="14"/>
  <c r="AO5" i="14"/>
  <c r="AN5" i="14"/>
  <c r="AK5" i="14"/>
  <c r="AJ5" i="14"/>
  <c r="AC5" i="14"/>
  <c r="AB5" i="14"/>
  <c r="X5" i="14"/>
  <c r="Q5" i="14"/>
  <c r="P5" i="14"/>
  <c r="L5" i="14"/>
  <c r="BP3" i="14"/>
  <c r="BP5" i="14" s="1"/>
  <c r="BO3" i="14"/>
  <c r="BO5" i="14" s="1"/>
  <c r="BN3" i="14"/>
  <c r="BN5" i="14" s="1"/>
  <c r="BM3" i="14"/>
  <c r="BL3" i="14"/>
  <c r="BK3" i="14"/>
  <c r="BK5" i="14" s="1"/>
  <c r="BJ3" i="14"/>
  <c r="BJ5" i="14" s="1"/>
  <c r="BI3" i="14"/>
  <c r="BH3" i="14"/>
  <c r="BG3" i="14"/>
  <c r="BG5" i="14" s="1"/>
  <c r="BF3" i="14"/>
  <c r="BF5" i="14" s="1"/>
  <c r="BE3" i="14"/>
  <c r="BD3" i="14"/>
  <c r="BD5" i="14" s="1"/>
  <c r="BC3" i="14"/>
  <c r="BC5" i="14" s="1"/>
  <c r="BB3" i="14"/>
  <c r="BB5" i="14" s="1"/>
  <c r="BA3" i="14"/>
  <c r="AZ3" i="14"/>
  <c r="AY3" i="14"/>
  <c r="AY5" i="14" s="1"/>
  <c r="AX3" i="14"/>
  <c r="AX5" i="14" s="1"/>
  <c r="AW3" i="14"/>
  <c r="AV3" i="14"/>
  <c r="AU3" i="14"/>
  <c r="AU5" i="14" s="1"/>
  <c r="AT3" i="14"/>
  <c r="AT5" i="14" s="1"/>
  <c r="AS3" i="14"/>
  <c r="AR3" i="14"/>
  <c r="AR5" i="14" s="1"/>
  <c r="AQ3" i="14"/>
  <c r="AQ5" i="14" s="1"/>
  <c r="AP3" i="14"/>
  <c r="AP5" i="14" s="1"/>
  <c r="AO3" i="14"/>
  <c r="AN3" i="14"/>
  <c r="AM3" i="14"/>
  <c r="AM5" i="14" s="1"/>
  <c r="AL3" i="14"/>
  <c r="AL5" i="14" s="1"/>
  <c r="AK3" i="14"/>
  <c r="AJ3" i="14"/>
  <c r="AI3" i="14"/>
  <c r="AI5" i="14" s="1"/>
  <c r="AH3" i="14"/>
  <c r="AH5" i="14" s="1"/>
  <c r="AG3" i="14"/>
  <c r="AG5" i="14" s="1"/>
  <c r="AF3" i="14"/>
  <c r="AF5" i="14" s="1"/>
  <c r="AE3" i="14"/>
  <c r="AE5" i="14" s="1"/>
  <c r="AD3" i="14"/>
  <c r="AD5" i="14" s="1"/>
  <c r="AC3" i="14"/>
  <c r="AB3" i="14"/>
  <c r="AA3" i="14"/>
  <c r="AA5" i="14" s="1"/>
  <c r="Z3" i="14"/>
  <c r="Z5" i="14" s="1"/>
  <c r="Y3" i="14"/>
  <c r="Y5" i="14" s="1"/>
  <c r="X3" i="14"/>
  <c r="W3" i="14"/>
  <c r="W5" i="14" s="1"/>
  <c r="V3" i="14"/>
  <c r="V5" i="14" s="1"/>
  <c r="U3" i="14"/>
  <c r="U5" i="14" s="1"/>
  <c r="T3" i="14"/>
  <c r="T5" i="14" s="1"/>
  <c r="S3" i="14"/>
  <c r="S5" i="14" s="1"/>
  <c r="R3" i="14"/>
  <c r="R5" i="14" s="1"/>
  <c r="Q3" i="14"/>
  <c r="P3" i="14"/>
  <c r="O3" i="14"/>
  <c r="O5" i="14" s="1"/>
  <c r="N3" i="14"/>
  <c r="N5" i="14" s="1"/>
  <c r="M3" i="14"/>
  <c r="M5" i="14" s="1"/>
  <c r="L4" i="14" s="1"/>
  <c r="L2" i="14"/>
  <c r="K11" i="13"/>
  <c r="K10" i="13"/>
  <c r="K9" i="13"/>
  <c r="K8" i="13"/>
  <c r="K7" i="13"/>
  <c r="BJ5" i="13"/>
  <c r="BI5" i="13"/>
  <c r="BF5" i="13"/>
  <c r="AW5" i="13"/>
  <c r="AT5" i="13"/>
  <c r="AK5" i="13"/>
  <c r="BP3" i="13"/>
  <c r="BP5" i="13" s="1"/>
  <c r="BO3" i="13"/>
  <c r="BO5" i="13" s="1"/>
  <c r="BN3" i="13"/>
  <c r="BN5" i="13" s="1"/>
  <c r="BM3" i="13"/>
  <c r="BM5" i="13" s="1"/>
  <c r="BL3" i="13"/>
  <c r="BL5" i="13" s="1"/>
  <c r="BK3" i="13"/>
  <c r="BK5" i="13" s="1"/>
  <c r="BJ3" i="13"/>
  <c r="BI3" i="13"/>
  <c r="BH3" i="13"/>
  <c r="BH5" i="13" s="1"/>
  <c r="BG3" i="13"/>
  <c r="BG5" i="13" s="1"/>
  <c r="BF3" i="13"/>
  <c r="BE3" i="13"/>
  <c r="BE5" i="13" s="1"/>
  <c r="BD3" i="13"/>
  <c r="BD5" i="13" s="1"/>
  <c r="BC3" i="13"/>
  <c r="BC5" i="13" s="1"/>
  <c r="BB3" i="13"/>
  <c r="BB5" i="13" s="1"/>
  <c r="BA3" i="13"/>
  <c r="BA5" i="13" s="1"/>
  <c r="AZ3" i="13"/>
  <c r="AZ5" i="13" s="1"/>
  <c r="AY3" i="13"/>
  <c r="AY5" i="13" s="1"/>
  <c r="AX3" i="13"/>
  <c r="AX5" i="13" s="1"/>
  <c r="AW3" i="13"/>
  <c r="AV3" i="13"/>
  <c r="AV5" i="13" s="1"/>
  <c r="AU3" i="13"/>
  <c r="AU5" i="13" s="1"/>
  <c r="AT3" i="13"/>
  <c r="AS3" i="13"/>
  <c r="AS5" i="13" s="1"/>
  <c r="AR3" i="13"/>
  <c r="AR5" i="13" s="1"/>
  <c r="AQ3" i="13"/>
  <c r="AQ5" i="13" s="1"/>
  <c r="AP3" i="13"/>
  <c r="AP5" i="13" s="1"/>
  <c r="AO3" i="13"/>
  <c r="AO5" i="13" s="1"/>
  <c r="AN3" i="13"/>
  <c r="AN5" i="13" s="1"/>
  <c r="AM3" i="13"/>
  <c r="AM5" i="13" s="1"/>
  <c r="AL3" i="13"/>
  <c r="AL5" i="13" s="1"/>
  <c r="AK3" i="13"/>
  <c r="AJ3" i="13"/>
  <c r="AJ5" i="13" s="1"/>
  <c r="AI3" i="13"/>
  <c r="AI5" i="13" s="1"/>
  <c r="AH3" i="13"/>
  <c r="AH5" i="13" s="1"/>
  <c r="AG3" i="13"/>
  <c r="AG5" i="13" s="1"/>
  <c r="AF3" i="13"/>
  <c r="AF5" i="13" s="1"/>
  <c r="AE3" i="13"/>
  <c r="AE5" i="13" s="1"/>
  <c r="AD3" i="13"/>
  <c r="AD5" i="13" s="1"/>
  <c r="AC3" i="13"/>
  <c r="AC5" i="13" s="1"/>
  <c r="AB3" i="13"/>
  <c r="AB5" i="13" s="1"/>
  <c r="AA3" i="13"/>
  <c r="AA5" i="13" s="1"/>
  <c r="Z3" i="13"/>
  <c r="Z5" i="13" s="1"/>
  <c r="Y3" i="13"/>
  <c r="Y5" i="13" s="1"/>
  <c r="X3" i="13"/>
  <c r="X5" i="13" s="1"/>
  <c r="W3" i="13"/>
  <c r="W5" i="13" s="1"/>
  <c r="V3" i="13"/>
  <c r="V5" i="13" s="1"/>
  <c r="U3" i="13"/>
  <c r="U5" i="13" s="1"/>
  <c r="T3" i="13"/>
  <c r="T5" i="13" s="1"/>
  <c r="S3" i="13"/>
  <c r="S5" i="13" s="1"/>
  <c r="R3" i="13"/>
  <c r="R5" i="13" s="1"/>
  <c r="Q3" i="13"/>
  <c r="Q5" i="13" s="1"/>
  <c r="P3" i="13"/>
  <c r="P5" i="13" s="1"/>
  <c r="O3" i="13"/>
  <c r="O5" i="13" s="1"/>
  <c r="N3" i="13"/>
  <c r="N5" i="13" s="1"/>
  <c r="M3" i="13"/>
  <c r="M5" i="13" s="1"/>
  <c r="L4" i="13" s="1"/>
  <c r="L2" i="13"/>
  <c r="L5" i="13" s="1"/>
  <c r="K14" i="12"/>
  <c r="K13" i="12"/>
  <c r="K12" i="12"/>
  <c r="K11" i="12"/>
  <c r="K10" i="12"/>
  <c r="K9" i="12"/>
  <c r="K8" i="12"/>
  <c r="K7" i="12"/>
  <c r="BO5" i="12"/>
  <c r="BN5" i="12"/>
  <c r="BK5" i="12"/>
  <c r="BJ5" i="12"/>
  <c r="BI5" i="12"/>
  <c r="BC5" i="12"/>
  <c r="BB5" i="12"/>
  <c r="AZ5" i="12"/>
  <c r="AX5" i="12"/>
  <c r="AQ5" i="12"/>
  <c r="AP5" i="12"/>
  <c r="AN5" i="12"/>
  <c r="AM5" i="12"/>
  <c r="AL5" i="12"/>
  <c r="AE5" i="12"/>
  <c r="AD5" i="12"/>
  <c r="AC5" i="12"/>
  <c r="AB5" i="12"/>
  <c r="AA5" i="12"/>
  <c r="Z5" i="12"/>
  <c r="Y5" i="12"/>
  <c r="S5" i="12"/>
  <c r="R5" i="12"/>
  <c r="O5" i="12"/>
  <c r="N5" i="12"/>
  <c r="M5" i="12"/>
  <c r="L4" i="12" s="1"/>
  <c r="BP3" i="12"/>
  <c r="BP5" i="12" s="1"/>
  <c r="BO3" i="12"/>
  <c r="BN3" i="12"/>
  <c r="BM3" i="12"/>
  <c r="BM5" i="12" s="1"/>
  <c r="BL3" i="12"/>
  <c r="BL5" i="12" s="1"/>
  <c r="BK3" i="12"/>
  <c r="BJ3" i="12"/>
  <c r="BI3" i="12"/>
  <c r="BH3" i="12"/>
  <c r="BH5" i="12" s="1"/>
  <c r="BG3" i="12"/>
  <c r="BG5" i="12" s="1"/>
  <c r="BF3" i="12"/>
  <c r="BF5" i="12" s="1"/>
  <c r="BE3" i="12"/>
  <c r="BE5" i="12" s="1"/>
  <c r="BD3" i="12"/>
  <c r="BD5" i="12" s="1"/>
  <c r="BC3" i="12"/>
  <c r="BB3" i="12"/>
  <c r="BA3" i="12"/>
  <c r="BA5" i="12" s="1"/>
  <c r="AZ3" i="12"/>
  <c r="AY3" i="12"/>
  <c r="AY5" i="12" s="1"/>
  <c r="AX3" i="12"/>
  <c r="AW3" i="12"/>
  <c r="AW5" i="12" s="1"/>
  <c r="AV3" i="12"/>
  <c r="AV5" i="12" s="1"/>
  <c r="AU3" i="12"/>
  <c r="AU5" i="12" s="1"/>
  <c r="AT3" i="12"/>
  <c r="AT5" i="12" s="1"/>
  <c r="AS3" i="12"/>
  <c r="AS5" i="12" s="1"/>
  <c r="AR3" i="12"/>
  <c r="AR5" i="12" s="1"/>
  <c r="AQ3" i="12"/>
  <c r="AP3" i="12"/>
  <c r="AO3" i="12"/>
  <c r="AO5" i="12" s="1"/>
  <c r="AN3" i="12"/>
  <c r="AM3" i="12"/>
  <c r="AL3" i="12"/>
  <c r="AK3" i="12"/>
  <c r="AK5" i="12" s="1"/>
  <c r="AJ3" i="12"/>
  <c r="AJ5" i="12" s="1"/>
  <c r="AI3" i="12"/>
  <c r="AI5" i="12" s="1"/>
  <c r="AH3" i="12"/>
  <c r="AH5" i="12" s="1"/>
  <c r="AG3" i="12"/>
  <c r="AG5" i="12" s="1"/>
  <c r="AF3" i="12"/>
  <c r="AF5" i="12" s="1"/>
  <c r="AE3" i="12"/>
  <c r="AD3" i="12"/>
  <c r="AC3" i="12"/>
  <c r="AB3" i="12"/>
  <c r="AA3" i="12"/>
  <c r="Z3" i="12"/>
  <c r="Y3" i="12"/>
  <c r="X3" i="12"/>
  <c r="X5" i="12" s="1"/>
  <c r="W3" i="12"/>
  <c r="W5" i="12" s="1"/>
  <c r="V3" i="12"/>
  <c r="V5" i="12" s="1"/>
  <c r="U3" i="12"/>
  <c r="U5" i="12" s="1"/>
  <c r="T3" i="12"/>
  <c r="T5" i="12" s="1"/>
  <c r="S3" i="12"/>
  <c r="R3" i="12"/>
  <c r="Q3" i="12"/>
  <c r="Q5" i="12" s="1"/>
  <c r="P3" i="12"/>
  <c r="P5" i="12" s="1"/>
  <c r="O3" i="12"/>
  <c r="N3" i="12"/>
  <c r="M3" i="12"/>
  <c r="L2" i="12"/>
  <c r="L5" i="12" s="1"/>
  <c r="K13" i="11"/>
  <c r="K12" i="11"/>
  <c r="K10" i="11"/>
  <c r="K9" i="11"/>
  <c r="K7" i="11"/>
  <c r="J7" i="11"/>
  <c r="K8" i="11" s="1"/>
  <c r="BP5" i="11"/>
  <c r="BN5" i="11"/>
  <c r="BJ5" i="11"/>
  <c r="BI5" i="11"/>
  <c r="BE5" i="11"/>
  <c r="BD5" i="11"/>
  <c r="BB5" i="11"/>
  <c r="AX5" i="11"/>
  <c r="AW5" i="11"/>
  <c r="AS5" i="11"/>
  <c r="AR5" i="11"/>
  <c r="AQ5" i="11"/>
  <c r="AP5" i="11"/>
  <c r="AN5" i="11"/>
  <c r="AG5" i="11"/>
  <c r="AF5" i="11"/>
  <c r="AE5" i="11"/>
  <c r="AD5" i="11"/>
  <c r="AC5" i="11"/>
  <c r="Z5" i="11"/>
  <c r="U5" i="11"/>
  <c r="T5" i="11"/>
  <c r="S5" i="11"/>
  <c r="R5" i="11"/>
  <c r="N5" i="11"/>
  <c r="L5" i="11"/>
  <c r="BP3" i="11"/>
  <c r="BO3" i="11"/>
  <c r="BO5" i="11" s="1"/>
  <c r="BN3" i="11"/>
  <c r="BM3" i="11"/>
  <c r="BM5" i="11" s="1"/>
  <c r="BL3" i="11"/>
  <c r="BL5" i="11" s="1"/>
  <c r="BK3" i="11"/>
  <c r="BK5" i="11" s="1"/>
  <c r="BJ3" i="11"/>
  <c r="BI3" i="11"/>
  <c r="BH3" i="11"/>
  <c r="BH5" i="11" s="1"/>
  <c r="BG3" i="11"/>
  <c r="BG5" i="11" s="1"/>
  <c r="BF3" i="11"/>
  <c r="BF5" i="11" s="1"/>
  <c r="BE3" i="11"/>
  <c r="BD3" i="11"/>
  <c r="BC3" i="11"/>
  <c r="BC5" i="11" s="1"/>
  <c r="BB3" i="11"/>
  <c r="BA3" i="11"/>
  <c r="BA5" i="11" s="1"/>
  <c r="AZ3" i="11"/>
  <c r="AZ5" i="11" s="1"/>
  <c r="AY3" i="11"/>
  <c r="AY5" i="11" s="1"/>
  <c r="AX3" i="11"/>
  <c r="AW3" i="11"/>
  <c r="AV3" i="11"/>
  <c r="AV5" i="11" s="1"/>
  <c r="AU3" i="11"/>
  <c r="AU5" i="11" s="1"/>
  <c r="AT3" i="11"/>
  <c r="AT5" i="11" s="1"/>
  <c r="AS3" i="11"/>
  <c r="AR3" i="11"/>
  <c r="AQ3" i="11"/>
  <c r="AP3" i="11"/>
  <c r="AO3" i="11"/>
  <c r="AO5" i="11" s="1"/>
  <c r="AN3" i="11"/>
  <c r="AM3" i="11"/>
  <c r="AM5" i="11" s="1"/>
  <c r="AL3" i="11"/>
  <c r="AL5" i="11" s="1"/>
  <c r="AK3" i="11"/>
  <c r="AK5" i="11" s="1"/>
  <c r="AJ3" i="11"/>
  <c r="AJ5" i="11" s="1"/>
  <c r="AI3" i="11"/>
  <c r="AI5" i="11" s="1"/>
  <c r="AH3" i="11"/>
  <c r="AH5" i="11" s="1"/>
  <c r="AG3" i="11"/>
  <c r="AF3" i="11"/>
  <c r="AE3" i="11"/>
  <c r="AD3" i="11"/>
  <c r="AC3" i="11"/>
  <c r="AB3" i="11"/>
  <c r="AB5" i="11" s="1"/>
  <c r="AA3" i="11"/>
  <c r="AA5" i="11" s="1"/>
  <c r="Z3" i="11"/>
  <c r="Y3" i="11"/>
  <c r="Y5" i="11" s="1"/>
  <c r="X3" i="11"/>
  <c r="X5" i="11" s="1"/>
  <c r="W3" i="11"/>
  <c r="W5" i="11" s="1"/>
  <c r="V3" i="11"/>
  <c r="V5" i="11" s="1"/>
  <c r="U3" i="11"/>
  <c r="T3" i="11"/>
  <c r="S3" i="11"/>
  <c r="R3" i="11"/>
  <c r="Q3" i="11"/>
  <c r="Q5" i="11" s="1"/>
  <c r="P3" i="11"/>
  <c r="P5" i="11" s="1"/>
  <c r="O3" i="11"/>
  <c r="O5" i="11" s="1"/>
  <c r="N3" i="11"/>
  <c r="M3" i="11"/>
  <c r="M5" i="11" s="1"/>
  <c r="L4" i="11" s="1"/>
  <c r="L2" i="11"/>
  <c r="K9" i="10"/>
  <c r="K8" i="10"/>
  <c r="K7" i="10"/>
  <c r="BO5" i="10"/>
  <c r="BN5" i="10"/>
  <c r="BK5" i="10"/>
  <c r="BJ5" i="10"/>
  <c r="BG5" i="10"/>
  <c r="BC5" i="10"/>
  <c r="BB5" i="10"/>
  <c r="AX5" i="10"/>
  <c r="AV5" i="10"/>
  <c r="AU5" i="10"/>
  <c r="AQ5" i="10"/>
  <c r="AP5" i="10"/>
  <c r="AN5" i="10"/>
  <c r="AI5" i="10"/>
  <c r="AE5" i="10"/>
  <c r="AD5" i="10"/>
  <c r="AC5" i="10"/>
  <c r="Z5" i="10"/>
  <c r="S5" i="10"/>
  <c r="R5" i="10"/>
  <c r="O5" i="10"/>
  <c r="N5" i="10"/>
  <c r="L5" i="10"/>
  <c r="BP3" i="10"/>
  <c r="BP5" i="10" s="1"/>
  <c r="BO3" i="10"/>
  <c r="BN3" i="10"/>
  <c r="BM3" i="10"/>
  <c r="BM5" i="10" s="1"/>
  <c r="BL3" i="10"/>
  <c r="BL5" i="10" s="1"/>
  <c r="BK3" i="10"/>
  <c r="BJ3" i="10"/>
  <c r="BI3" i="10"/>
  <c r="BI5" i="10" s="1"/>
  <c r="BH3" i="10"/>
  <c r="BH5" i="10" s="1"/>
  <c r="BG3" i="10"/>
  <c r="BF3" i="10"/>
  <c r="BF5" i="10" s="1"/>
  <c r="BE3" i="10"/>
  <c r="BE5" i="10" s="1"/>
  <c r="BD3" i="10"/>
  <c r="BD5" i="10" s="1"/>
  <c r="BC3" i="10"/>
  <c r="BB3" i="10"/>
  <c r="BA3" i="10"/>
  <c r="BA5" i="10" s="1"/>
  <c r="AZ3" i="10"/>
  <c r="AZ5" i="10" s="1"/>
  <c r="AY3" i="10"/>
  <c r="AY5" i="10" s="1"/>
  <c r="AX3" i="10"/>
  <c r="AW3" i="10"/>
  <c r="AW5" i="10" s="1"/>
  <c r="AV3" i="10"/>
  <c r="AU3" i="10"/>
  <c r="AT3" i="10"/>
  <c r="AT5" i="10" s="1"/>
  <c r="AS3" i="10"/>
  <c r="AS5" i="10" s="1"/>
  <c r="AR3" i="10"/>
  <c r="AR5" i="10" s="1"/>
  <c r="AQ3" i="10"/>
  <c r="AP3" i="10"/>
  <c r="AO3" i="10"/>
  <c r="AO5" i="10" s="1"/>
  <c r="AN3" i="10"/>
  <c r="AM3" i="10"/>
  <c r="AM5" i="10" s="1"/>
  <c r="AL3" i="10"/>
  <c r="AL5" i="10" s="1"/>
  <c r="AK3" i="10"/>
  <c r="AK5" i="10" s="1"/>
  <c r="AJ3" i="10"/>
  <c r="AJ5" i="10" s="1"/>
  <c r="AI3" i="10"/>
  <c r="AH3" i="10"/>
  <c r="AH5" i="10" s="1"/>
  <c r="AG3" i="10"/>
  <c r="AG5" i="10" s="1"/>
  <c r="AF3" i="10"/>
  <c r="AF5" i="10" s="1"/>
  <c r="AE3" i="10"/>
  <c r="AD3" i="10"/>
  <c r="AC3" i="10"/>
  <c r="AB3" i="10"/>
  <c r="AB5" i="10" s="1"/>
  <c r="AA3" i="10"/>
  <c r="AA5" i="10" s="1"/>
  <c r="Z3" i="10"/>
  <c r="Y3" i="10"/>
  <c r="Y5" i="10" s="1"/>
  <c r="X3" i="10"/>
  <c r="X5" i="10" s="1"/>
  <c r="W3" i="10"/>
  <c r="W5" i="10" s="1"/>
  <c r="V3" i="10"/>
  <c r="V5" i="10" s="1"/>
  <c r="U3" i="10"/>
  <c r="U5" i="10" s="1"/>
  <c r="T3" i="10"/>
  <c r="T5" i="10" s="1"/>
  <c r="S3" i="10"/>
  <c r="R3" i="10"/>
  <c r="Q3" i="10"/>
  <c r="Q5" i="10" s="1"/>
  <c r="P3" i="10"/>
  <c r="P5" i="10" s="1"/>
  <c r="O3" i="10"/>
  <c r="N3" i="10"/>
  <c r="M3" i="10"/>
  <c r="M5" i="10" s="1"/>
  <c r="L4" i="10" s="1"/>
  <c r="L2" i="10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3" i="9"/>
  <c r="K12" i="9"/>
  <c r="K11" i="9"/>
  <c r="K10" i="9"/>
  <c r="K9" i="9"/>
  <c r="K8" i="9"/>
  <c r="K7" i="9"/>
  <c r="BF5" i="9"/>
  <c r="BE5" i="9"/>
  <c r="BD5" i="9"/>
  <c r="BC5" i="9"/>
  <c r="AZ5" i="9"/>
  <c r="AW5" i="9"/>
  <c r="AT5" i="9"/>
  <c r="AS5" i="9"/>
  <c r="AQ5" i="9"/>
  <c r="AO5" i="9"/>
  <c r="AN5" i="9"/>
  <c r="AL5" i="9"/>
  <c r="AK5" i="9"/>
  <c r="AH5" i="9"/>
  <c r="AG5" i="9"/>
  <c r="AB5" i="9"/>
  <c r="AA5" i="9"/>
  <c r="V5" i="9"/>
  <c r="U5" i="9"/>
  <c r="S5" i="9"/>
  <c r="N5" i="9"/>
  <c r="M5" i="9"/>
  <c r="L4" i="9" s="1"/>
  <c r="BP3" i="9"/>
  <c r="BP5" i="9" s="1"/>
  <c r="BO3" i="9"/>
  <c r="BO5" i="9" s="1"/>
  <c r="BN3" i="9"/>
  <c r="BN5" i="9" s="1"/>
  <c r="BM3" i="9"/>
  <c r="BM5" i="9" s="1"/>
  <c r="BL3" i="9"/>
  <c r="BL5" i="9" s="1"/>
  <c r="BK3" i="9"/>
  <c r="BK5" i="9" s="1"/>
  <c r="BJ3" i="9"/>
  <c r="BJ5" i="9" s="1"/>
  <c r="BI3" i="9"/>
  <c r="BI5" i="9" s="1"/>
  <c r="BH3" i="9"/>
  <c r="BH5" i="9" s="1"/>
  <c r="BG3" i="9"/>
  <c r="BG5" i="9" s="1"/>
  <c r="BF3" i="9"/>
  <c r="BE3" i="9"/>
  <c r="BD3" i="9"/>
  <c r="BC3" i="9"/>
  <c r="BB3" i="9"/>
  <c r="BB5" i="9" s="1"/>
  <c r="BA3" i="9"/>
  <c r="BA5" i="9" s="1"/>
  <c r="AZ3" i="9"/>
  <c r="AY3" i="9"/>
  <c r="AY5" i="9" s="1"/>
  <c r="AX3" i="9"/>
  <c r="AX5" i="9" s="1"/>
  <c r="AW3" i="9"/>
  <c r="AV3" i="9"/>
  <c r="AV5" i="9" s="1"/>
  <c r="AU3" i="9"/>
  <c r="AU5" i="9" s="1"/>
  <c r="AT3" i="9"/>
  <c r="AS3" i="9"/>
  <c r="AR3" i="9"/>
  <c r="AR5" i="9" s="1"/>
  <c r="AQ3" i="9"/>
  <c r="AP3" i="9"/>
  <c r="AP5" i="9" s="1"/>
  <c r="AO3" i="9"/>
  <c r="AN3" i="9"/>
  <c r="AM3" i="9"/>
  <c r="AM5" i="9" s="1"/>
  <c r="AL3" i="9"/>
  <c r="AK3" i="9"/>
  <c r="AJ3" i="9"/>
  <c r="AJ5" i="9" s="1"/>
  <c r="AI3" i="9"/>
  <c r="AI5" i="9" s="1"/>
  <c r="AH3" i="9"/>
  <c r="AG3" i="9"/>
  <c r="AF3" i="9"/>
  <c r="AF5" i="9" s="1"/>
  <c r="AE3" i="9"/>
  <c r="AE5" i="9" s="1"/>
  <c r="AD3" i="9"/>
  <c r="AD5" i="9" s="1"/>
  <c r="AC3" i="9"/>
  <c r="AC5" i="9" s="1"/>
  <c r="AB3" i="9"/>
  <c r="AA3" i="9"/>
  <c r="Z3" i="9"/>
  <c r="Z5" i="9" s="1"/>
  <c r="Y3" i="9"/>
  <c r="Y5" i="9" s="1"/>
  <c r="X3" i="9"/>
  <c r="X5" i="9" s="1"/>
  <c r="W3" i="9"/>
  <c r="W5" i="9" s="1"/>
  <c r="V3" i="9"/>
  <c r="U3" i="9"/>
  <c r="T3" i="9"/>
  <c r="T5" i="9" s="1"/>
  <c r="S3" i="9"/>
  <c r="R3" i="9"/>
  <c r="R5" i="9" s="1"/>
  <c r="Q3" i="9"/>
  <c r="Q5" i="9" s="1"/>
  <c r="P3" i="9"/>
  <c r="P5" i="9" s="1"/>
  <c r="O3" i="9"/>
  <c r="O5" i="9" s="1"/>
  <c r="N3" i="9"/>
  <c r="M3" i="9"/>
  <c r="L2" i="9"/>
  <c r="L5" i="9" s="1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BO5" i="8"/>
  <c r="BL5" i="8"/>
  <c r="BK5" i="8"/>
  <c r="BI5" i="8"/>
  <c r="BC5" i="8"/>
  <c r="BA5" i="8"/>
  <c r="AZ5" i="8"/>
  <c r="AY5" i="8"/>
  <c r="AX5" i="8"/>
  <c r="AW5" i="8"/>
  <c r="AU5" i="8"/>
  <c r="AQ5" i="8"/>
  <c r="AO5" i="8"/>
  <c r="AN5" i="8"/>
  <c r="AM5" i="8"/>
  <c r="AK5" i="8"/>
  <c r="AH5" i="8"/>
  <c r="AE5" i="8"/>
  <c r="AC5" i="8"/>
  <c r="AB5" i="8"/>
  <c r="AA5" i="8"/>
  <c r="W5" i="8"/>
  <c r="S5" i="8"/>
  <c r="P5" i="8"/>
  <c r="O5" i="8"/>
  <c r="N5" i="8"/>
  <c r="BP3" i="8"/>
  <c r="BP5" i="8" s="1"/>
  <c r="BO3" i="8"/>
  <c r="BN3" i="8"/>
  <c r="BN5" i="8" s="1"/>
  <c r="BM3" i="8"/>
  <c r="BM5" i="8" s="1"/>
  <c r="BL3" i="8"/>
  <c r="BK3" i="8"/>
  <c r="BJ3" i="8"/>
  <c r="BJ5" i="8" s="1"/>
  <c r="BI3" i="8"/>
  <c r="BH3" i="8"/>
  <c r="BH5" i="8" s="1"/>
  <c r="BG3" i="8"/>
  <c r="BG5" i="8" s="1"/>
  <c r="BF3" i="8"/>
  <c r="BF5" i="8" s="1"/>
  <c r="BE3" i="8"/>
  <c r="BE5" i="8" s="1"/>
  <c r="BD3" i="8"/>
  <c r="BD5" i="8" s="1"/>
  <c r="BC3" i="8"/>
  <c r="BB3" i="8"/>
  <c r="BB5" i="8" s="1"/>
  <c r="BA3" i="8"/>
  <c r="AZ3" i="8"/>
  <c r="AY3" i="8"/>
  <c r="AX3" i="8"/>
  <c r="AW3" i="8"/>
  <c r="AV3" i="8"/>
  <c r="AV5" i="8" s="1"/>
  <c r="AU3" i="8"/>
  <c r="AT3" i="8"/>
  <c r="AT5" i="8" s="1"/>
  <c r="AS3" i="8"/>
  <c r="AS5" i="8" s="1"/>
  <c r="AR3" i="8"/>
  <c r="AR5" i="8" s="1"/>
  <c r="AQ3" i="8"/>
  <c r="AP3" i="8"/>
  <c r="AP5" i="8" s="1"/>
  <c r="AO3" i="8"/>
  <c r="AN3" i="8"/>
  <c r="AM3" i="8"/>
  <c r="AL3" i="8"/>
  <c r="AL5" i="8" s="1"/>
  <c r="AK3" i="8"/>
  <c r="AJ3" i="8"/>
  <c r="AJ5" i="8" s="1"/>
  <c r="AI3" i="8"/>
  <c r="AI5" i="8" s="1"/>
  <c r="AH3" i="8"/>
  <c r="AG3" i="8"/>
  <c r="AG5" i="8" s="1"/>
  <c r="AF3" i="8"/>
  <c r="AF5" i="8" s="1"/>
  <c r="AE3" i="8"/>
  <c r="AD3" i="8"/>
  <c r="AD5" i="8" s="1"/>
  <c r="AC3" i="8"/>
  <c r="AB3" i="8"/>
  <c r="AA3" i="8"/>
  <c r="Z3" i="8"/>
  <c r="Z5" i="8" s="1"/>
  <c r="Y3" i="8"/>
  <c r="Y5" i="8" s="1"/>
  <c r="X3" i="8"/>
  <c r="X5" i="8" s="1"/>
  <c r="W3" i="8"/>
  <c r="V3" i="8"/>
  <c r="V5" i="8" s="1"/>
  <c r="U3" i="8"/>
  <c r="U5" i="8" s="1"/>
  <c r="T3" i="8"/>
  <c r="T5" i="8" s="1"/>
  <c r="S3" i="8"/>
  <c r="R3" i="8"/>
  <c r="R5" i="8" s="1"/>
  <c r="Q3" i="8"/>
  <c r="Q5" i="8" s="1"/>
  <c r="P3" i="8"/>
  <c r="O3" i="8"/>
  <c r="N3" i="8"/>
  <c r="M3" i="8"/>
  <c r="M5" i="8" s="1"/>
  <c r="L4" i="8" s="1"/>
  <c r="L2" i="8"/>
  <c r="L5" i="8" s="1"/>
  <c r="K17" i="7"/>
  <c r="K16" i="7"/>
  <c r="K15" i="7"/>
  <c r="K14" i="7"/>
  <c r="K13" i="7"/>
  <c r="K12" i="7"/>
  <c r="K11" i="7"/>
  <c r="K10" i="7"/>
  <c r="K9" i="7"/>
  <c r="K8" i="7"/>
  <c r="K7" i="7"/>
  <c r="BP5" i="7"/>
  <c r="BM5" i="7"/>
  <c r="BL5" i="7"/>
  <c r="BI5" i="7"/>
  <c r="BD5" i="7"/>
  <c r="BC5" i="7"/>
  <c r="BB5" i="7"/>
  <c r="AZ5" i="7"/>
  <c r="AX5" i="7"/>
  <c r="AW5" i="7"/>
  <c r="AV5" i="7"/>
  <c r="AR5" i="7"/>
  <c r="AP5" i="7"/>
  <c r="AO5" i="7"/>
  <c r="AN5" i="7"/>
  <c r="AL5" i="7"/>
  <c r="AK5" i="7"/>
  <c r="AI5" i="7"/>
  <c r="AD5" i="7"/>
  <c r="AC5" i="7"/>
  <c r="AB5" i="7"/>
  <c r="Y5" i="7"/>
  <c r="X5" i="7"/>
  <c r="T5" i="7"/>
  <c r="R5" i="7"/>
  <c r="Q5" i="7"/>
  <c r="P5" i="7"/>
  <c r="M5" i="7"/>
  <c r="L5" i="7"/>
  <c r="L4" i="7"/>
  <c r="BP3" i="7"/>
  <c r="BO3" i="7"/>
  <c r="BO5" i="7" s="1"/>
  <c r="BN3" i="7"/>
  <c r="BN5" i="7" s="1"/>
  <c r="BM3" i="7"/>
  <c r="BL3" i="7"/>
  <c r="BK3" i="7"/>
  <c r="BK5" i="7" s="1"/>
  <c r="BJ3" i="7"/>
  <c r="BJ5" i="7" s="1"/>
  <c r="BI3" i="7"/>
  <c r="BH3" i="7"/>
  <c r="BH5" i="7" s="1"/>
  <c r="BG3" i="7"/>
  <c r="BG5" i="7" s="1"/>
  <c r="BF3" i="7"/>
  <c r="BF5" i="7" s="1"/>
  <c r="BE3" i="7"/>
  <c r="BE5" i="7" s="1"/>
  <c r="BD3" i="7"/>
  <c r="BC3" i="7"/>
  <c r="BB3" i="7"/>
  <c r="BA3" i="7"/>
  <c r="BA5" i="7" s="1"/>
  <c r="AZ3" i="7"/>
  <c r="AY3" i="7"/>
  <c r="AY5" i="7" s="1"/>
  <c r="AX3" i="7"/>
  <c r="AW3" i="7"/>
  <c r="AV3" i="7"/>
  <c r="AU3" i="7"/>
  <c r="AU5" i="7" s="1"/>
  <c r="AT3" i="7"/>
  <c r="AT5" i="7" s="1"/>
  <c r="AS3" i="7"/>
  <c r="AS5" i="7" s="1"/>
  <c r="AR3" i="7"/>
  <c r="AQ3" i="7"/>
  <c r="AQ5" i="7" s="1"/>
  <c r="AP3" i="7"/>
  <c r="AO3" i="7"/>
  <c r="AN3" i="7"/>
  <c r="AM3" i="7"/>
  <c r="AM5" i="7" s="1"/>
  <c r="AL3" i="7"/>
  <c r="AK3" i="7"/>
  <c r="AJ3" i="7"/>
  <c r="AJ5" i="7" s="1"/>
  <c r="AI3" i="7"/>
  <c r="AH3" i="7"/>
  <c r="AH5" i="7" s="1"/>
  <c r="AG3" i="7"/>
  <c r="AG5" i="7" s="1"/>
  <c r="AF3" i="7"/>
  <c r="AF5" i="7" s="1"/>
  <c r="AE3" i="7"/>
  <c r="AE5" i="7" s="1"/>
  <c r="AD3" i="7"/>
  <c r="AC3" i="7"/>
  <c r="AB3" i="7"/>
  <c r="AA3" i="7"/>
  <c r="AA5" i="7" s="1"/>
  <c r="Z3" i="7"/>
  <c r="Z5" i="7" s="1"/>
  <c r="Y3" i="7"/>
  <c r="X3" i="7"/>
  <c r="W3" i="7"/>
  <c r="W5" i="7" s="1"/>
  <c r="V3" i="7"/>
  <c r="V5" i="7" s="1"/>
  <c r="U3" i="7"/>
  <c r="U5" i="7" s="1"/>
  <c r="T3" i="7"/>
  <c r="S3" i="7"/>
  <c r="S5" i="7" s="1"/>
  <c r="R3" i="7"/>
  <c r="Q3" i="7"/>
  <c r="P3" i="7"/>
  <c r="O3" i="7"/>
  <c r="O5" i="7" s="1"/>
  <c r="N3" i="7"/>
  <c r="N5" i="7" s="1"/>
  <c r="M3" i="7"/>
  <c r="L2" i="7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BP5" i="6"/>
  <c r="BO5" i="6"/>
  <c r="BM5" i="6"/>
  <c r="BF5" i="6"/>
  <c r="BE5" i="6"/>
  <c r="BD5" i="6"/>
  <c r="BC5" i="6"/>
  <c r="BB5" i="6"/>
  <c r="AS5" i="6"/>
  <c r="AR5" i="6"/>
  <c r="AQ5" i="6"/>
  <c r="AP5" i="6"/>
  <c r="AO5" i="6"/>
  <c r="AM5" i="6"/>
  <c r="AG5" i="6"/>
  <c r="AF5" i="6"/>
  <c r="AE5" i="6"/>
  <c r="AC5" i="6"/>
  <c r="AB5" i="6"/>
  <c r="Z5" i="6"/>
  <c r="U5" i="6"/>
  <c r="T5" i="6"/>
  <c r="S5" i="6"/>
  <c r="O5" i="6"/>
  <c r="BP3" i="6"/>
  <c r="BO3" i="6"/>
  <c r="BN3" i="6"/>
  <c r="BN5" i="6" s="1"/>
  <c r="BM3" i="6"/>
  <c r="BL3" i="6"/>
  <c r="BL5" i="6" s="1"/>
  <c r="BK3" i="6"/>
  <c r="BK5" i="6" s="1"/>
  <c r="BJ3" i="6"/>
  <c r="BJ5" i="6" s="1"/>
  <c r="BI3" i="6"/>
  <c r="BI5" i="6" s="1"/>
  <c r="BH3" i="6"/>
  <c r="BH5" i="6" s="1"/>
  <c r="BG3" i="6"/>
  <c r="BG5" i="6" s="1"/>
  <c r="BF3" i="6"/>
  <c r="BE3" i="6"/>
  <c r="BD3" i="6"/>
  <c r="BC3" i="6"/>
  <c r="BB3" i="6"/>
  <c r="BA3" i="6"/>
  <c r="BA5" i="6" s="1"/>
  <c r="AZ3" i="6"/>
  <c r="AZ5" i="6" s="1"/>
  <c r="AY3" i="6"/>
  <c r="AY5" i="6" s="1"/>
  <c r="AX3" i="6"/>
  <c r="AX5" i="6" s="1"/>
  <c r="AW3" i="6"/>
  <c r="AW5" i="6" s="1"/>
  <c r="AV3" i="6"/>
  <c r="AV5" i="6" s="1"/>
  <c r="AU3" i="6"/>
  <c r="AU5" i="6" s="1"/>
  <c r="AT3" i="6"/>
  <c r="AT5" i="6" s="1"/>
  <c r="AS3" i="6"/>
  <c r="AR3" i="6"/>
  <c r="AQ3" i="6"/>
  <c r="AP3" i="6"/>
  <c r="AO3" i="6"/>
  <c r="AN3" i="6"/>
  <c r="AN5" i="6" s="1"/>
  <c r="AM3" i="6"/>
  <c r="AL3" i="6"/>
  <c r="AL5" i="6" s="1"/>
  <c r="AK3" i="6"/>
  <c r="AK5" i="6" s="1"/>
  <c r="AJ3" i="6"/>
  <c r="AJ5" i="6" s="1"/>
  <c r="AI3" i="6"/>
  <c r="AI5" i="6" s="1"/>
  <c r="AH3" i="6"/>
  <c r="AH5" i="6" s="1"/>
  <c r="AG3" i="6"/>
  <c r="AF3" i="6"/>
  <c r="AE3" i="6"/>
  <c r="AD3" i="6"/>
  <c r="AD5" i="6" s="1"/>
  <c r="AC3" i="6"/>
  <c r="AB3" i="6"/>
  <c r="AA3" i="6"/>
  <c r="AA5" i="6" s="1"/>
  <c r="Z3" i="6"/>
  <c r="Y3" i="6"/>
  <c r="Y5" i="6" s="1"/>
  <c r="X3" i="6"/>
  <c r="X5" i="6" s="1"/>
  <c r="W3" i="6"/>
  <c r="W5" i="6" s="1"/>
  <c r="V3" i="6"/>
  <c r="V5" i="6" s="1"/>
  <c r="U3" i="6"/>
  <c r="T3" i="6"/>
  <c r="S3" i="6"/>
  <c r="R3" i="6"/>
  <c r="R5" i="6" s="1"/>
  <c r="Q3" i="6"/>
  <c r="Q5" i="6" s="1"/>
  <c r="P3" i="6"/>
  <c r="P5" i="6" s="1"/>
  <c r="O3" i="6"/>
  <c r="N3" i="6"/>
  <c r="N5" i="6" s="1"/>
  <c r="M3" i="6"/>
  <c r="M5" i="6" s="1"/>
  <c r="L4" i="6" s="1"/>
  <c r="L2" i="6"/>
  <c r="L5" i="6" s="1"/>
  <c r="K32" i="5"/>
  <c r="K31" i="5"/>
  <c r="K30" i="5"/>
  <c r="K29" i="5"/>
  <c r="K28" i="5"/>
  <c r="K27" i="5"/>
  <c r="K26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BP5" i="5"/>
  <c r="BM5" i="5"/>
  <c r="BJ5" i="5"/>
  <c r="BI5" i="5"/>
  <c r="BH5" i="5"/>
  <c r="BG5" i="5"/>
  <c r="BF5" i="5"/>
  <c r="BE5" i="5"/>
  <c r="BB5" i="5"/>
  <c r="BA5" i="5"/>
  <c r="AX5" i="5"/>
  <c r="AV5" i="5"/>
  <c r="AU5" i="5"/>
  <c r="AT5" i="5"/>
  <c r="AS5" i="5"/>
  <c r="AR5" i="5"/>
  <c r="AO5" i="5"/>
  <c r="AJ5" i="5"/>
  <c r="AI5" i="5"/>
  <c r="AH5" i="5"/>
  <c r="AF5" i="5"/>
  <c r="AD5" i="5"/>
  <c r="AC5" i="5"/>
  <c r="Z5" i="5"/>
  <c r="X5" i="5"/>
  <c r="W5" i="5"/>
  <c r="V5" i="5"/>
  <c r="R5" i="5"/>
  <c r="Q5" i="5"/>
  <c r="N5" i="5"/>
  <c r="BP3" i="5"/>
  <c r="BO3" i="5"/>
  <c r="BO5" i="5" s="1"/>
  <c r="BN3" i="5"/>
  <c r="BN5" i="5" s="1"/>
  <c r="BM3" i="5"/>
  <c r="BL3" i="5"/>
  <c r="BL5" i="5" s="1"/>
  <c r="BK3" i="5"/>
  <c r="BK5" i="5" s="1"/>
  <c r="BJ3" i="5"/>
  <c r="BI3" i="5"/>
  <c r="BH3" i="5"/>
  <c r="BG3" i="5"/>
  <c r="BF3" i="5"/>
  <c r="BE3" i="5"/>
  <c r="BD3" i="5"/>
  <c r="BD5" i="5" s="1"/>
  <c r="BC3" i="5"/>
  <c r="BC5" i="5" s="1"/>
  <c r="BB3" i="5"/>
  <c r="BA3" i="5"/>
  <c r="AZ3" i="5"/>
  <c r="AZ5" i="5" s="1"/>
  <c r="AY3" i="5"/>
  <c r="AY5" i="5" s="1"/>
  <c r="AX3" i="5"/>
  <c r="AW3" i="5"/>
  <c r="AW5" i="5" s="1"/>
  <c r="AV3" i="5"/>
  <c r="AU3" i="5"/>
  <c r="AT3" i="5"/>
  <c r="AS3" i="5"/>
  <c r="AR3" i="5"/>
  <c r="AQ3" i="5"/>
  <c r="AQ5" i="5" s="1"/>
  <c r="AP3" i="5"/>
  <c r="AP5" i="5" s="1"/>
  <c r="AO3" i="5"/>
  <c r="AN3" i="5"/>
  <c r="AN5" i="5" s="1"/>
  <c r="AM3" i="5"/>
  <c r="AM5" i="5" s="1"/>
  <c r="AL3" i="5"/>
  <c r="AL5" i="5" s="1"/>
  <c r="AK3" i="5"/>
  <c r="AK5" i="5" s="1"/>
  <c r="AJ3" i="5"/>
  <c r="AI3" i="5"/>
  <c r="AH3" i="5"/>
  <c r="AG3" i="5"/>
  <c r="AG5" i="5" s="1"/>
  <c r="AF3" i="5"/>
  <c r="AE3" i="5"/>
  <c r="AE5" i="5" s="1"/>
  <c r="AD3" i="5"/>
  <c r="AC3" i="5"/>
  <c r="AB3" i="5"/>
  <c r="AB5" i="5" s="1"/>
  <c r="AA3" i="5"/>
  <c r="AA5" i="5" s="1"/>
  <c r="Z3" i="5"/>
  <c r="Y3" i="5"/>
  <c r="Y5" i="5" s="1"/>
  <c r="X3" i="5"/>
  <c r="W3" i="5"/>
  <c r="V3" i="5"/>
  <c r="U3" i="5"/>
  <c r="U5" i="5" s="1"/>
  <c r="T3" i="5"/>
  <c r="T5" i="5" s="1"/>
  <c r="S3" i="5"/>
  <c r="S5" i="5" s="1"/>
  <c r="R3" i="5"/>
  <c r="Q3" i="5"/>
  <c r="P3" i="5"/>
  <c r="P5" i="5" s="1"/>
  <c r="O3" i="5"/>
  <c r="O5" i="5" s="1"/>
  <c r="N3" i="5"/>
  <c r="M3" i="5"/>
  <c r="M5" i="5" s="1"/>
  <c r="L4" i="5" s="1"/>
  <c r="L2" i="5"/>
  <c r="L5" i="5" s="1"/>
  <c r="BO5" i="4"/>
  <c r="BN5" i="4"/>
  <c r="BM5" i="4"/>
  <c r="BF5" i="4"/>
  <c r="BE5" i="4"/>
  <c r="BC5" i="4"/>
  <c r="BB5" i="4"/>
  <c r="BA5" i="4"/>
  <c r="AZ5" i="4"/>
  <c r="AX5" i="4"/>
  <c r="AT5" i="4"/>
  <c r="AQ5" i="4"/>
  <c r="AP5" i="4"/>
  <c r="AN5" i="4"/>
  <c r="AM5" i="4"/>
  <c r="AK5" i="4"/>
  <c r="AE5" i="4"/>
  <c r="AD5" i="4"/>
  <c r="Z5" i="4"/>
  <c r="V5" i="4"/>
  <c r="S5" i="4"/>
  <c r="R5" i="4"/>
  <c r="Q5" i="4"/>
  <c r="N5" i="4"/>
  <c r="M5" i="4"/>
  <c r="L2" i="4" s="1"/>
  <c r="L5" i="4" s="1"/>
  <c r="BP5" i="4"/>
  <c r="BL5" i="4"/>
  <c r="BK5" i="4"/>
  <c r="BJ5" i="4"/>
  <c r="BI5" i="4"/>
  <c r="BH5" i="4"/>
  <c r="BG5" i="4"/>
  <c r="BD5" i="4"/>
  <c r="AY5" i="4"/>
  <c r="AW5" i="4"/>
  <c r="AV5" i="4"/>
  <c r="AU5" i="4"/>
  <c r="AS5" i="4"/>
  <c r="AR5" i="4"/>
  <c r="AO5" i="4"/>
  <c r="AL5" i="4"/>
  <c r="AJ5" i="4"/>
  <c r="AI5" i="4"/>
  <c r="AH5" i="4"/>
  <c r="AG5" i="4"/>
  <c r="AF5" i="4"/>
  <c r="AC5" i="4"/>
  <c r="AB5" i="4"/>
  <c r="AA5" i="4"/>
  <c r="Y5" i="4"/>
  <c r="X5" i="4"/>
  <c r="W5" i="4"/>
  <c r="U5" i="4"/>
  <c r="T5" i="4"/>
  <c r="P5" i="4"/>
  <c r="O5" i="4"/>
  <c r="B11" i="1"/>
  <c r="B10" i="1"/>
  <c r="B9" i="1"/>
  <c r="B8" i="1"/>
  <c r="B7" i="1"/>
  <c r="B6" i="1"/>
  <c r="B5" i="1"/>
  <c r="B4" i="1"/>
  <c r="B3" i="1"/>
  <c r="B2" i="1"/>
  <c r="BP5" i="3"/>
  <c r="BO5" i="3"/>
  <c r="BM5" i="3"/>
  <c r="BH5" i="3"/>
  <c r="BG5" i="3"/>
  <c r="BF5" i="3"/>
  <c r="BE5" i="3"/>
  <c r="BD5" i="3"/>
  <c r="BC5" i="3"/>
  <c r="BB5" i="3"/>
  <c r="AV5" i="3"/>
  <c r="AU5" i="3"/>
  <c r="AS5" i="3"/>
  <c r="AR5" i="3"/>
  <c r="AQ5" i="3"/>
  <c r="AP5" i="3"/>
  <c r="AO5" i="3"/>
  <c r="AM5" i="3"/>
  <c r="AJ5" i="3"/>
  <c r="AG5" i="3"/>
  <c r="AF5" i="3"/>
  <c r="AE5" i="3"/>
  <c r="AC5" i="3"/>
  <c r="AB5" i="3"/>
  <c r="X5" i="3"/>
  <c r="W5" i="3"/>
  <c r="U5" i="3"/>
  <c r="T5" i="3"/>
  <c r="S5" i="3"/>
  <c r="R5" i="3"/>
  <c r="P5" i="3"/>
  <c r="O5" i="3"/>
  <c r="BN5" i="3"/>
  <c r="BL5" i="3"/>
  <c r="BK5" i="3"/>
  <c r="BJ5" i="3"/>
  <c r="BI5" i="3"/>
  <c r="BA5" i="3"/>
  <c r="AZ5" i="3"/>
  <c r="AY5" i="3"/>
  <c r="AX5" i="3"/>
  <c r="AW5" i="3"/>
  <c r="AT5" i="3"/>
  <c r="AN5" i="3"/>
  <c r="AL5" i="3"/>
  <c r="AK5" i="3"/>
  <c r="AI5" i="3"/>
  <c r="AH5" i="3"/>
  <c r="AD5" i="3"/>
  <c r="AA5" i="3"/>
  <c r="Z5" i="3"/>
  <c r="Y5" i="3"/>
  <c r="V5" i="3"/>
  <c r="Q5" i="3"/>
  <c r="L4" i="3" l="1"/>
  <c r="L2" i="3"/>
  <c r="L5" i="3" s="1"/>
  <c r="BQ5" i="13"/>
</calcChain>
</file>

<file path=xl/sharedStrings.xml><?xml version="1.0" encoding="utf-8"?>
<sst xmlns="http://schemas.openxmlformats.org/spreadsheetml/2006/main" count="1722" uniqueCount="507">
  <si>
    <t>AD-5#尿裤</t>
  </si>
  <si>
    <t>单班</t>
  </si>
  <si>
    <t>未排产计划</t>
  </si>
  <si>
    <t>双班</t>
  </si>
  <si>
    <t>5月排产计划</t>
  </si>
  <si>
    <t>双</t>
  </si>
  <si>
    <t>6月排产计划</t>
  </si>
  <si>
    <t>目前总共订单</t>
  </si>
  <si>
    <t>物料号</t>
  </si>
  <si>
    <t>合同号</t>
  </si>
  <si>
    <t>生产单编号</t>
  </si>
  <si>
    <t>产品</t>
  </si>
  <si>
    <t>规格(p*b*z)</t>
  </si>
  <si>
    <t>下单时间</t>
  </si>
  <si>
    <t>最晚交货时间</t>
  </si>
  <si>
    <t>下单箱数</t>
  </si>
  <si>
    <t>下单片数</t>
  </si>
  <si>
    <t>剩余排产</t>
  </si>
  <si>
    <t>1.1.02.710</t>
  </si>
  <si>
    <t>NM-20260416001</t>
  </si>
  <si>
    <t>WO-ZZ00020602</t>
  </si>
  <si>
    <t>崇明红十字会组合装L码2023</t>
  </si>
  <si>
    <t>1.1.02.395S</t>
  </si>
  <si>
    <t>WO-ZZ00020678</t>
  </si>
  <si>
    <t>CARESS BASIC L(10+1)*10</t>
  </si>
  <si>
    <t>1.1.04.614</t>
  </si>
  <si>
    <t>NM-20260210-002</t>
  </si>
  <si>
    <t>WO-ZZ00020037</t>
  </si>
  <si>
    <t>珍琦SUNKISS增强系列系列成人纸尿裤S码（10片*8包）</t>
  </si>
  <si>
    <t>1.1.04.007</t>
  </si>
  <si>
    <t>KJ-20260210-PREDICT</t>
  </si>
  <si>
    <t>WO-ZZ00020041</t>
  </si>
  <si>
    <t>SUNKISS夜用系列成人纸尿裤S码(12片*4包)</t>
  </si>
  <si>
    <t>1.1.04.008</t>
  </si>
  <si>
    <t>WO-ZZ00020039</t>
  </si>
  <si>
    <t>SUNKISS夜用系列成人纸尿裤S码(12片*4包)B（整箱）</t>
  </si>
  <si>
    <t>1.1.04.009</t>
  </si>
  <si>
    <t>WO-ZZ00020040</t>
  </si>
  <si>
    <t>SUNKISS成人纸尿裤S码(15片*4包)</t>
  </si>
  <si>
    <t>1.1.04.010</t>
  </si>
  <si>
    <t>WO-ZZ00020038</t>
  </si>
  <si>
    <t>SUNKISS成人纸尿裤S码(15片*4包)B（整箱）</t>
  </si>
  <si>
    <t>1.1.02.703</t>
  </si>
  <si>
    <t>DS-20260402-001</t>
  </si>
  <si>
    <t>WO-ZZ00020488</t>
  </si>
  <si>
    <t>珍琦电商系列夜用型成人纸尿裤L码（10片*6包</t>
  </si>
  <si>
    <t>1.1.02.729</t>
  </si>
  <si>
    <t>KJ-20260310-PREDICT</t>
  </si>
  <si>
    <t>WO-ZZ00020224</t>
  </si>
  <si>
    <t>SUNKISS成人纸尿裤L码(15片*4包)B（整箱）</t>
  </si>
  <si>
    <t>1.1.02.727</t>
  </si>
  <si>
    <t>WO-ZZ00020225</t>
  </si>
  <si>
    <t>SUNKISS夜用系列成人纸尿裤L码(12片*4包)B（整箱）</t>
  </si>
  <si>
    <t>1.1.03.352</t>
  </si>
  <si>
    <t>NM-20260410002</t>
  </si>
  <si>
    <t>WO-ZZ00020553</t>
  </si>
  <si>
    <t>SUNKISS珍琦医用垫单（D型）XL码（10片装）</t>
  </si>
  <si>
    <t>1.1.03.341</t>
  </si>
  <si>
    <t>WO-ZZ00020480</t>
  </si>
  <si>
    <t>珍琦电商系列夜用型成人纸尿裤XL码（9片*6包）</t>
  </si>
  <si>
    <t>1.1.03.335</t>
  </si>
  <si>
    <t>NM-202604290001</t>
  </si>
  <si>
    <t>WO-ZZ00020679</t>
  </si>
  <si>
    <t>珍琦SUNKISS增强系列成人纸尿裤XL码（10片*8包）</t>
  </si>
  <si>
    <t>1.1.05.302</t>
  </si>
  <si>
    <t>WO-ZZ00020680</t>
  </si>
  <si>
    <t>康宝成裤 XL</t>
  </si>
  <si>
    <t>1.1.02.723</t>
  </si>
  <si>
    <t>CR269027</t>
  </si>
  <si>
    <t>WO-ZZ00020481</t>
  </si>
  <si>
    <t>云柔成人纸尿裤L码(产品标注XL码)(Safein)(10片*12包) (CU000199)</t>
  </si>
  <si>
    <t>CR269028</t>
  </si>
  <si>
    <t>WO-ZZ00020482</t>
  </si>
  <si>
    <t>1.1.01.315</t>
  </si>
  <si>
    <t>CR269035</t>
  </si>
  <si>
    <t>WO-ZZ00020681</t>
  </si>
  <si>
    <t>蓝雀成人纸尿裤1211M码(10片*12包) (CU000198)</t>
  </si>
  <si>
    <t>1.1.01.673</t>
  </si>
  <si>
    <t>NM-20260203-001</t>
  </si>
  <si>
    <t>WO-ZZ00020227</t>
  </si>
  <si>
    <t>贴静舒爽系列成人纸尿裤M码（10片*12包）</t>
  </si>
  <si>
    <t>NM-20260209-001</t>
  </si>
  <si>
    <t>WO-ZZ00020033</t>
  </si>
  <si>
    <t>1.1.01.674</t>
  </si>
  <si>
    <t>WO-ZZ00020044</t>
  </si>
  <si>
    <t>珍琦SUNKISS增强系列成人纸尿裤M码（10片*8包）</t>
  </si>
  <si>
    <t>1.1.02.319</t>
  </si>
  <si>
    <t>WO-ZZ00020682</t>
  </si>
  <si>
    <t>蓝雀成人纸尿裤1102L码(10片*12包) (CU000198)</t>
  </si>
  <si>
    <t>1.1.01.700</t>
  </si>
  <si>
    <t>WO-ZZ00020483</t>
  </si>
  <si>
    <t>云柔成人纸尿裤M码(产品标注L码)(Safein)(10片*12包) (CU000199)</t>
  </si>
  <si>
    <t>WO-ZZ00020683</t>
  </si>
  <si>
    <t>1.1.03.344</t>
  </si>
  <si>
    <t>DS-20260506-001</t>
  </si>
  <si>
    <t>珍琦电商系列基础型成人纸尿裤XL码（9片*6包）</t>
  </si>
  <si>
    <t>1.1.02.332</t>
  </si>
  <si>
    <t>CR269011</t>
  </si>
  <si>
    <t>WO-ZZ00020603</t>
  </si>
  <si>
    <t>SENIOR成人纸尿裤L码(10片*12包) (CU000188)</t>
  </si>
  <si>
    <t>1.1.03.301</t>
  </si>
  <si>
    <t>WO-ZZ00020604</t>
  </si>
  <si>
    <t>SENIOR成人纸尿裤XL码(10片*12包) (CU000188)</t>
  </si>
  <si>
    <t>1.1.01.325</t>
  </si>
  <si>
    <t>WO-ZZ00020125</t>
  </si>
  <si>
    <t>SENIOR成人纸尿裤M码(10片*12包) (CU000188)</t>
  </si>
  <si>
    <t>CR269012</t>
  </si>
  <si>
    <t>WO-ZZ00020128</t>
  </si>
  <si>
    <t>WO-ZZ00020129</t>
  </si>
  <si>
    <t>1.8.01.643</t>
  </si>
  <si>
    <t>金山红会组合装L码（2023）</t>
  </si>
  <si>
    <t>1.8.01.644</t>
  </si>
  <si>
    <t>金山红会组合装M码（2023）</t>
  </si>
  <si>
    <t>1.8.01.645</t>
  </si>
  <si>
    <t>浦东红十字组合装M码</t>
  </si>
  <si>
    <t>1.8.01.646</t>
  </si>
  <si>
    <t>浦东红十字组合装L码</t>
  </si>
  <si>
    <t>1.8.01.647</t>
  </si>
  <si>
    <t>浦东红十字组合装XL码</t>
  </si>
  <si>
    <t>节假日设置</t>
  </si>
  <si>
    <t>星期几</t>
  </si>
  <si>
    <t>产线</t>
  </si>
  <si>
    <t>换码损失(双班)</t>
  </si>
  <si>
    <t>换码损失(单班)</t>
  </si>
  <si>
    <t>AD-8#尿裤</t>
  </si>
  <si>
    <t>AD-7#拉拉裤</t>
  </si>
  <si>
    <t>AD-10#拉拉裤</t>
  </si>
  <si>
    <t>AD-3#尿片</t>
  </si>
  <si>
    <t>UP-1#床垫</t>
  </si>
  <si>
    <t>UP-3#床垫</t>
  </si>
  <si>
    <t>SN-1</t>
  </si>
  <si>
    <t>SN-2</t>
  </si>
  <si>
    <t>BD-2#婴裤</t>
  </si>
  <si>
    <t>BD-3#拉拉裤</t>
  </si>
  <si>
    <t>BD-5#拉拉裤</t>
  </si>
  <si>
    <t xml:space="preserve">BD-6#拉拉裤 </t>
  </si>
  <si>
    <t>BD-7#拉拉裤</t>
  </si>
  <si>
    <t>4月排产计划</t>
  </si>
  <si>
    <t>1.1.01.634</t>
  </si>
  <si>
    <t>WO-ZZ00019969</t>
  </si>
  <si>
    <t>Basic M (20+2)*4</t>
  </si>
  <si>
    <t>1.1.01.691</t>
  </si>
  <si>
    <t>NM-202604280001</t>
  </si>
  <si>
    <t>WO-ZZ00020684</t>
  </si>
  <si>
    <t>崇明红十字会组合装M码2023</t>
  </si>
  <si>
    <t>1.1.01.685</t>
  </si>
  <si>
    <t>DS-20260205-001</t>
  </si>
  <si>
    <t>WO-ZZ00020045</t>
  </si>
  <si>
    <t>珍琦电商系列基础型成人纸尿裤M码（10片*6包）</t>
  </si>
  <si>
    <t>WO-ZZ00020300</t>
  </si>
  <si>
    <t>1.1.01.687</t>
  </si>
  <si>
    <t>WO-ZZ00020493</t>
  </si>
  <si>
    <t>珍琦电商系列夜用型成人纸尿裤M码（10片*6包）</t>
  </si>
  <si>
    <t>1.1.02.713</t>
  </si>
  <si>
    <t>NM-20260417001</t>
  </si>
  <si>
    <t>WO-ZZ00020607</t>
  </si>
  <si>
    <t>SUNKISS珍琦医用垫单（D型）L码（10片装）</t>
  </si>
  <si>
    <t>1.1.01.697</t>
  </si>
  <si>
    <t>WO-ZZ00020485</t>
  </si>
  <si>
    <t>康宝 成裤电商款 M BASIC 24*2bags</t>
  </si>
  <si>
    <t>WO-ZZ00020537</t>
  </si>
  <si>
    <t>1.1.01.653</t>
  </si>
  <si>
    <t>WO-ZZ00020536</t>
  </si>
  <si>
    <t>CARESS BASIC M （10+1）*10 欧式袋</t>
  </si>
  <si>
    <t>1.1.01.349</t>
  </si>
  <si>
    <t>WO-ZZ00020685</t>
  </si>
  <si>
    <t>康宝 成裤M OVERNIGHT</t>
  </si>
  <si>
    <t>1.1.02.697</t>
  </si>
  <si>
    <t>WO-ZZ00020606</t>
  </si>
  <si>
    <t>珍琦SUNKISS增强系列成人纸尿裤L码（10片*12包）大白袋装</t>
  </si>
  <si>
    <t>WO-ZZ00020534</t>
  </si>
  <si>
    <t>1.1.02.689</t>
  </si>
  <si>
    <t>WO-ZZ00020419</t>
  </si>
  <si>
    <t>珍琦SUNKISS增强系列成人纸尿裤L码（10片*8包）</t>
  </si>
  <si>
    <t>WO-ZZ00020686</t>
  </si>
  <si>
    <t>1.1.02.688</t>
  </si>
  <si>
    <t>WO-ZZ00020423</t>
  </si>
  <si>
    <t>贴静舒爽系列成人纸尿裤L码（10片*12包）</t>
  </si>
  <si>
    <t>1.1.02.720</t>
  </si>
  <si>
    <t>WO-ZZ00020486</t>
  </si>
  <si>
    <t>康宝 成裤电商款 L BASIC 24*2bags</t>
  </si>
  <si>
    <t>1.1.01.350</t>
  </si>
  <si>
    <t>康宝 成裤M DAYUSE</t>
  </si>
  <si>
    <t>1.1.01.351</t>
  </si>
  <si>
    <t>康宝 成裤M 散片</t>
  </si>
  <si>
    <t>1.1.01.686</t>
  </si>
  <si>
    <t>WO-ZZ00020491</t>
  </si>
  <si>
    <t>珍琦电商系列增强型成人纸尿裤M码（10片*8包）</t>
  </si>
  <si>
    <t>1.1.02.701</t>
  </si>
  <si>
    <t>WO-ZZ00020489</t>
  </si>
  <si>
    <t>珍琦电商系列基础型成人纸尿裤L码（10片*6包）</t>
  </si>
  <si>
    <t>1.1.02.702</t>
  </si>
  <si>
    <t>WO-ZZ00020490</t>
  </si>
  <si>
    <t>珍琦电商系列增强型成人纸尿裤L码（10片*8包）</t>
  </si>
  <si>
    <t>1.1.02.354</t>
  </si>
  <si>
    <t>康宝成裤OVERNIGHT L</t>
  </si>
  <si>
    <t>WO-ZZ00020492</t>
  </si>
  <si>
    <t>单</t>
  </si>
  <si>
    <t>尺码</t>
  </si>
  <si>
    <t>1.1.02.674</t>
  </si>
  <si>
    <t>KJ-20260410-PREDICT</t>
  </si>
  <si>
    <t>WO-ZZ00020539</t>
  </si>
  <si>
    <t>SUNKISS成人拉拉裤L码(16片*4包) B(整箱)</t>
  </si>
  <si>
    <t>1.7.03.041</t>
  </si>
  <si>
    <t>CR268021</t>
  </si>
  <si>
    <t>WO-ZZ00020500</t>
  </si>
  <si>
    <t>BUBBA经期裤L码(8片*10包) (CU001152)</t>
  </si>
  <si>
    <t>1.7.02.041</t>
  </si>
  <si>
    <t>WO-ZZ00020495</t>
  </si>
  <si>
    <t>BUBBA经期裤M码(8片*10包) (CU001152)</t>
  </si>
  <si>
    <t>1.1.01.667</t>
  </si>
  <si>
    <t>WO-ZZ00020541</t>
  </si>
  <si>
    <t>SUNKISS成人拉拉裤M码(16片*4包) B(整箱)</t>
  </si>
  <si>
    <t>1.7.02.052</t>
  </si>
  <si>
    <t>WO-ZZ00020542</t>
  </si>
  <si>
    <t>MOLLIS成人拉拉裤S/M码(16片*4包) B(整箱)</t>
  </si>
  <si>
    <t>1.7.02.051</t>
  </si>
  <si>
    <t>WO-ZZ00020543</t>
  </si>
  <si>
    <t>MOLLIS成人拉拉裤S/M码(16片*4包)</t>
  </si>
  <si>
    <t>1.7.02.039</t>
  </si>
  <si>
    <t>WO-ZZ00020544</t>
  </si>
  <si>
    <t>SUNKISS成人拉拉裤M码(16片*4包)</t>
  </si>
  <si>
    <t>1.7.02.028</t>
  </si>
  <si>
    <t>WO-ZZ00020498</t>
  </si>
  <si>
    <t>FORLIFE台湾版成人拉拉裤M-L(10片*12包)(CU000199)</t>
  </si>
  <si>
    <t>1.7.03.005</t>
  </si>
  <si>
    <t>WO-ZZ00020499</t>
  </si>
  <si>
    <t>ZAKO珍琦基本型成人拉拉裤L码</t>
  </si>
  <si>
    <t>WO-ZZ00020687</t>
  </si>
  <si>
    <t>1.7.03.038</t>
  </si>
  <si>
    <t>WO-ZZ00020540</t>
  </si>
  <si>
    <t>SUNKISS成人拉拉裤L码(16片*4包)</t>
  </si>
  <si>
    <t>1.7.02.053</t>
  </si>
  <si>
    <t>NM-20260424001</t>
  </si>
  <si>
    <t>WO-ZZ00020688</t>
  </si>
  <si>
    <t>珍琦SUNKISS增强系列成人内裤式纸尿裤M码（10片*8包）</t>
  </si>
  <si>
    <t>1.7.02.054</t>
  </si>
  <si>
    <t>WO-ZZ00020689</t>
  </si>
  <si>
    <t>贴静舒爽系列成人  内裤式  纸尿裤  M码（10片*8包）</t>
  </si>
  <si>
    <t>1.7.03.081</t>
  </si>
  <si>
    <t>WO-ZZ00020690</t>
  </si>
  <si>
    <t>蓝雀成人内裤式纸尿裤HYG802L码（10片*8包）（CU000198）</t>
  </si>
  <si>
    <t>1.7.03.028</t>
  </si>
  <si>
    <t>WO-ZZ00020501</t>
  </si>
  <si>
    <t>FORLIFE台湾版成人拉拉裤L-XL(10片*12包) (CU000199)</t>
  </si>
  <si>
    <t>1.7.03.033</t>
  </si>
  <si>
    <t>CR268015</t>
  </si>
  <si>
    <t>WO-ZZ00020307</t>
  </si>
  <si>
    <t>ACTIVE成人拉拉裤L码(10片*8包) (CU000916)</t>
  </si>
  <si>
    <t>1.7.02.031</t>
  </si>
  <si>
    <t>WO-ZZ00020374</t>
  </si>
  <si>
    <t>ACTIVE成人拉拉裤M码(10片*8包) (CU000916)</t>
  </si>
  <si>
    <t>1.7.02.001</t>
  </si>
  <si>
    <t>CR269008</t>
  </si>
  <si>
    <t>WO-ZZ00020494</t>
  </si>
  <si>
    <t>SENIOR成人拉拉裤M码(10片*12包) (CU000188)</t>
  </si>
  <si>
    <t>1.7.04.001</t>
  </si>
  <si>
    <t>WO-ZZ00020426</t>
  </si>
  <si>
    <t>SENIOR成人拉拉裤XL码(10片*12包) (CU000188)</t>
  </si>
  <si>
    <t>1.7.05.003</t>
  </si>
  <si>
    <t>CR269010</t>
  </si>
  <si>
    <t>WO-ZZ00020608</t>
  </si>
  <si>
    <t>SENIOR成人拉拉裤XXL码(10片*12包) (CU000188)</t>
  </si>
  <si>
    <t>WO-ZZ00020176</t>
  </si>
  <si>
    <t>WO-ZZ00020177</t>
  </si>
  <si>
    <t>1.7.03.001</t>
  </si>
  <si>
    <t>WO-ZZ00020175</t>
  </si>
  <si>
    <t>SENIOR成人拉拉裤L码(10片*12包) (CU000188)</t>
  </si>
  <si>
    <t>WO-ZZ00020143</t>
  </si>
  <si>
    <t>1.7.02.103</t>
  </si>
  <si>
    <t>PI2603SOT002</t>
  </si>
  <si>
    <t>WO-ZZ00020312</t>
  </si>
  <si>
    <t>SOT成人拉拉裤M码（1M16片4包）</t>
  </si>
  <si>
    <t>1.7.02.082</t>
  </si>
  <si>
    <t>WO-ZZ00020230</t>
  </si>
  <si>
    <t>SUNKISS女士基础款成人拉拉裤M码 （32片*4包）</t>
  </si>
  <si>
    <t>1.7.06.001</t>
  </si>
  <si>
    <t>KJ-20260109-PREDICT</t>
  </si>
  <si>
    <t>WO-ZZ00019757</t>
  </si>
  <si>
    <t>SUNKISS男士基础款成人拉拉裤XXL码 （14片*6包）</t>
  </si>
  <si>
    <t>1.7.06.002</t>
  </si>
  <si>
    <t>WO-ZZ00020236</t>
  </si>
  <si>
    <t>SUNKISS男士基础款成人拉拉裤XXL码 （32片*4包）</t>
  </si>
  <si>
    <t>1.7.04.035</t>
  </si>
  <si>
    <t>WO-ZZ00020235</t>
  </si>
  <si>
    <t>SUNKISS男士基础款成人拉拉裤XL码 （32片*4包）</t>
  </si>
  <si>
    <t>1.7.03.097</t>
  </si>
  <si>
    <t>WO-ZZ00020375</t>
  </si>
  <si>
    <t>SUNKISS男士基础款成人拉拉裤L码 （30片*4包）（整箱）</t>
  </si>
  <si>
    <t>WO-ZZ00020237</t>
  </si>
  <si>
    <t>1.7.03.088</t>
  </si>
  <si>
    <t>WO-ZZ00020234</t>
  </si>
  <si>
    <t>SUNKISS男士基础款成人拉拉裤L码 （30片*4包）</t>
  </si>
  <si>
    <t>1.7.02.077</t>
  </si>
  <si>
    <t>WO-ZZ00020233</t>
  </si>
  <si>
    <t>SUNKISS男士基础款成人拉拉裤M码 （30片*4包）</t>
  </si>
  <si>
    <t>1.7.04.009</t>
  </si>
  <si>
    <t>WO-ZZ00020545</t>
  </si>
  <si>
    <t>SUNKISS夜用系列成人拉拉裤XL码(16片*4包)</t>
  </si>
  <si>
    <t>1.1.03.330</t>
  </si>
  <si>
    <t>WO-ZZ00020546</t>
  </si>
  <si>
    <t>SUNKISS夜用系列成人拉拉裤XL码(16片*4包)B(整箱)</t>
  </si>
  <si>
    <t>1.7.04.008</t>
  </si>
  <si>
    <t>WO-ZZ00020547</t>
  </si>
  <si>
    <t>SUNKISS成人拉拉裤XL码(16片*4包)</t>
  </si>
  <si>
    <t>1.1.03.329</t>
  </si>
  <si>
    <t>WO-ZZ00020548</t>
  </si>
  <si>
    <t>SUNKISS成人拉拉裤XL码(16片*4包) B(整箱)</t>
  </si>
  <si>
    <t>1.3.03.208</t>
  </si>
  <si>
    <t>WO-ZZ00020610</t>
  </si>
  <si>
    <t>贴静舒爽系列成人尿片L码82x28cm（10片*12包）大白袋装</t>
  </si>
  <si>
    <t>1.3.03.206</t>
  </si>
  <si>
    <t>NM-20260210-001</t>
  </si>
  <si>
    <t>WO-ZZ00020383</t>
  </si>
  <si>
    <t>贴静舒爽系列成人8字尿片L码（20片*6包）</t>
  </si>
  <si>
    <t>1.3.01.616</t>
  </si>
  <si>
    <t>CR268017</t>
  </si>
  <si>
    <t>WO-ZZ00020385</t>
  </si>
  <si>
    <t>VALUI八字尿片L码(IP5935)(16片*8包)  (CU000177)</t>
  </si>
  <si>
    <t>1.3.01.619</t>
  </si>
  <si>
    <t>WO-ZZ00020386</t>
  </si>
  <si>
    <t>VALUI八字尿片XL码(IP6935M)(16片*4包)  (CU000177)</t>
  </si>
  <si>
    <t>1.3.01.618</t>
  </si>
  <si>
    <t>WO-ZZ00020387</t>
  </si>
  <si>
    <t>VALUI八字尿片XL码(IP6935S)(16片*6包)  (CU000177)</t>
  </si>
  <si>
    <t>1.3.01.617</t>
  </si>
  <si>
    <t>WO-ZZ00020384</t>
  </si>
  <si>
    <t>VALUI八字尿片L码(IP5935M)(16片*8包)  (CU000177)</t>
  </si>
  <si>
    <t>1.3.03.205</t>
  </si>
  <si>
    <t>WO-ZZ00020691</t>
  </si>
  <si>
    <t>珍琦SUNKISS增强系列成人8字尿片L码（10片*12包）</t>
  </si>
  <si>
    <t>WO-ZZ00020692</t>
  </si>
  <si>
    <t>WO-ZZ00020693</t>
  </si>
  <si>
    <t>1.3.02.631</t>
  </si>
  <si>
    <t>WO-ZZ00020694</t>
  </si>
  <si>
    <t>贴静舒爽系列成人8字尿片M码（20片*6包）</t>
  </si>
  <si>
    <t>1.2.03.683</t>
  </si>
  <si>
    <t>WO-ZZ00020736</t>
  </si>
  <si>
    <t>康宝 床垫XL码90*60cm (8+1)片*16包</t>
  </si>
  <si>
    <t>1.2.03.658</t>
  </si>
  <si>
    <t>WO-ZZ00020549</t>
  </si>
  <si>
    <t>珍琦SUNKISS增强系列成人护理垫L码90x60cm（10片*12包）</t>
  </si>
  <si>
    <t>WO-ZZ00019999</t>
  </si>
  <si>
    <t>1.2.07.629</t>
  </si>
  <si>
    <t>WO-ZZ00020554</t>
  </si>
  <si>
    <t>珍琦优品医用垫单（B型）XL码90*60cm（10片*15包）</t>
  </si>
  <si>
    <t>1.2.03.672</t>
  </si>
  <si>
    <t>WO-ZZ00020090</t>
  </si>
  <si>
    <t>珍琦基础型成人护理垫L码60*90cm（10片*10包）</t>
  </si>
  <si>
    <t>1.2.03.657</t>
  </si>
  <si>
    <t>WO-ZZ00020087</t>
  </si>
  <si>
    <t>贴静舒爽系列成人护理垫L码90x60cm（10片*12包）</t>
  </si>
  <si>
    <t>1.2.03.660</t>
  </si>
  <si>
    <t>WO-ZZ00020431</t>
  </si>
  <si>
    <t>贴静舒爽系列成人护理垫L码90x60cm（3片*30包）</t>
  </si>
  <si>
    <t>1.2.03.659</t>
  </si>
  <si>
    <t>WO-ZZ00020552</t>
  </si>
  <si>
    <t>贴静舒爽系列成人护理垫L码90x60cm（15片*8包）</t>
  </si>
  <si>
    <t>WO-ZZ00020326</t>
  </si>
  <si>
    <t>1.2.03.637</t>
  </si>
  <si>
    <t>WO-ZZ00020611</t>
  </si>
  <si>
    <t>Zako医用垫单L码 90*60cm 5片</t>
  </si>
  <si>
    <t>1.2.05.301</t>
  </si>
  <si>
    <t>WO-ZZ00020695</t>
  </si>
  <si>
    <t>康宝 床垫 70*40cm</t>
  </si>
  <si>
    <t>1.2.01.301</t>
  </si>
  <si>
    <t>WO-ZZ00020696</t>
  </si>
  <si>
    <t>蓝雀成人护理垫40*60CM 3000(10片*30包) (CU000198)</t>
  </si>
  <si>
    <t>WO-ZZ00020697</t>
  </si>
  <si>
    <t>WO-ZZ00020503</t>
  </si>
  <si>
    <t>90000</t>
  </si>
  <si>
    <t>备注</t>
  </si>
  <si>
    <t>WO-ZZ00020570</t>
  </si>
  <si>
    <t>WO-ZZ00020550</t>
  </si>
  <si>
    <t>1.2.07.621</t>
  </si>
  <si>
    <t>WO-ZZ00020698</t>
  </si>
  <si>
    <t>贴静舒爽系列成人护理垫XL码150x80cm（5片*12包）</t>
  </si>
  <si>
    <t>1.2.07.301</t>
  </si>
  <si>
    <t>CR269031</t>
  </si>
  <si>
    <t>WO-ZZ00020506</t>
  </si>
  <si>
    <t>安亲成人护理垫180*70CM(10片*10包) (CU000197)</t>
  </si>
  <si>
    <t>WO-ZZ00020699</t>
  </si>
  <si>
    <t>1.2.09.001</t>
  </si>
  <si>
    <t>NM-20260427001</t>
  </si>
  <si>
    <t>WO-ZZ00020700</t>
  </si>
  <si>
    <t>SUNKISS成人护理垫90*85CM(10片*5包)</t>
  </si>
  <si>
    <t>1.2.03.668</t>
  </si>
  <si>
    <t>PETPERS Pet Pad L 60×60cm (30片*6包)</t>
  </si>
  <si>
    <t>1.2.03.682</t>
  </si>
  <si>
    <t>PI2602FMC011</t>
  </si>
  <si>
    <t>WO-ZZ00020179</t>
  </si>
  <si>
    <t>Cara Protector成人护理垫90*60CM（50片*4包）CU001649</t>
  </si>
  <si>
    <t>PI2602FMC014</t>
  </si>
  <si>
    <t>WO-ZZ00020189</t>
  </si>
  <si>
    <t>1.2.02.627</t>
  </si>
  <si>
    <t>PI2602FMC008</t>
  </si>
  <si>
    <t>WO-ZZ00020184</t>
  </si>
  <si>
    <t>Cara Protector成人护理垫60*60CM（50片*6包）CU001649</t>
  </si>
  <si>
    <t>PI2602FMC009</t>
  </si>
  <si>
    <t>WO-ZZ00020185</t>
  </si>
  <si>
    <t>PI2602FMC010</t>
  </si>
  <si>
    <t>WO-ZZ00020186</t>
  </si>
  <si>
    <t>PI2602FMC005</t>
  </si>
  <si>
    <t>WO-ZZ00020181</t>
  </si>
  <si>
    <t>PI2602FMC006</t>
  </si>
  <si>
    <t>WO-ZZ00020182</t>
  </si>
  <si>
    <t>PI2603FMC015</t>
  </si>
  <si>
    <t>WO-ZZ00020192</t>
  </si>
  <si>
    <t>PI2602FMC012</t>
  </si>
  <si>
    <t>WO-ZZ00020187</t>
  </si>
  <si>
    <t>PI2602FMC013</t>
  </si>
  <si>
    <t>WO-ZZ00020188</t>
  </si>
  <si>
    <t>PI2603FMC016</t>
  </si>
  <si>
    <t>WO-ZZ00020191</t>
  </si>
  <si>
    <t>1.2.07.614</t>
  </si>
  <si>
    <t>WO-ZZ00020329</t>
  </si>
  <si>
    <t>Zako医用垫单XL码 150*70cm 2片</t>
  </si>
  <si>
    <t>1.2.11.001</t>
  </si>
  <si>
    <t>NM-20260114-001</t>
  </si>
  <si>
    <t>WO-ZZ00020571</t>
  </si>
  <si>
    <t>珍琦优品医用垫单（B型）XXL码150x80cm（5片*12包）</t>
  </si>
  <si>
    <t>1.4.19.003</t>
  </si>
  <si>
    <t>CR253081</t>
  </si>
  <si>
    <t>WO-ZZ00020319</t>
  </si>
  <si>
    <t>LA FRESH 卫生护垫60片装(CU001692)</t>
  </si>
  <si>
    <t>CR253066</t>
  </si>
  <si>
    <t>WO-ZZ00020317</t>
  </si>
  <si>
    <t>CR253073</t>
  </si>
  <si>
    <t>WO-ZZ00020318</t>
  </si>
  <si>
    <t>1.4.14.028</t>
  </si>
  <si>
    <t>NM-202604090001</t>
  </si>
  <si>
    <t>WO-ZZ00020582</t>
  </si>
  <si>
    <t>维诺健纯棉240m</t>
  </si>
  <si>
    <t>NM-20260414001</t>
  </si>
  <si>
    <t>WO-ZZ00020584</t>
  </si>
  <si>
    <t>1.4.14.027</t>
  </si>
  <si>
    <t>WO-ZZ00020583</t>
  </si>
  <si>
    <t>维诺健蚕丝240mm（8片*160包）—ZQ</t>
  </si>
  <si>
    <t>1.4.18.012</t>
  </si>
  <si>
    <t>DV-SY260401</t>
  </si>
  <si>
    <t>WO-ZZ00020609</t>
  </si>
  <si>
    <t>Seiyo sanitary pads 310 2025版</t>
  </si>
  <si>
    <t>1.6.03.671</t>
  </si>
  <si>
    <t>WO-ZZ00020556</t>
  </si>
  <si>
    <t>EQ Dry Travel Pack Large(16+1)x12 2025.12.16</t>
  </si>
  <si>
    <t>1.6.03.672</t>
  </si>
  <si>
    <t>WO-ZZ00020555</t>
  </si>
  <si>
    <t>EQ Dry Econo Pack Large(32+2)x6 2025.12.16</t>
  </si>
  <si>
    <t>WO-ZZ00020509</t>
  </si>
  <si>
    <t>WO-ZZ00020510</t>
  </si>
  <si>
    <t>1.6.03.670</t>
  </si>
  <si>
    <t>EQ Dry Mini Pack Large 4 x 42 2025.12.16</t>
  </si>
  <si>
    <t>1.6.03.376</t>
  </si>
  <si>
    <t>WO-ZZ00020557</t>
  </si>
  <si>
    <t>EQ plus budget L (12+1)*14</t>
  </si>
  <si>
    <t>1.6.03.379</t>
  </si>
  <si>
    <t>EQ plus big L (28+2)*6</t>
  </si>
  <si>
    <t>1.6.03.380</t>
  </si>
  <si>
    <t>EQ plus jumbo L (42+4)*4</t>
  </si>
  <si>
    <t>1.6.15.349</t>
  </si>
  <si>
    <t>WO-ZZ00020559</t>
  </si>
  <si>
    <t>EQ Pants  XL（10x20）2023版</t>
  </si>
  <si>
    <t>1.6.14.349</t>
  </si>
  <si>
    <t>WO-ZZ00020770</t>
  </si>
  <si>
    <t>EQ Pants Jumbo Pack L (40+6) x6 2024-4-2</t>
  </si>
  <si>
    <t>1.6.16.354</t>
  </si>
  <si>
    <t>WO-ZZ00020701</t>
  </si>
  <si>
    <t>EQ Pants Jumbo Pack XXL (40+6) x6 2024-4-2</t>
  </si>
  <si>
    <t>1.6.15.368</t>
  </si>
  <si>
    <t>WO-ZZ00020336</t>
  </si>
  <si>
    <t>EQ Pants Jumbo Pack XLarge 42s × 2 弱酸 2025/11/10</t>
  </si>
  <si>
    <t>1.6.16.364</t>
  </si>
  <si>
    <t>新品</t>
  </si>
  <si>
    <t>WO-ZZ00020702</t>
  </si>
  <si>
    <t>EQ Pants Big Pack XXL 24s+2x8 2026-03-02</t>
  </si>
  <si>
    <t>WO-ZZ00020703</t>
  </si>
  <si>
    <t>EQ Pants Budget Pack XXL 10s x20 2025-12-16</t>
  </si>
  <si>
    <t>1.6.15.369</t>
  </si>
  <si>
    <t>WO-ZZ00020704</t>
  </si>
  <si>
    <t>EQ Pants Budget Pack XL 10s x20 2025-12-16</t>
  </si>
  <si>
    <t>1.6.15.372</t>
  </si>
  <si>
    <t>WO-ZZ00020705</t>
  </si>
  <si>
    <t>EQ Pants Jumbo Pack XL (40s+6) x6 2025-12-16</t>
  </si>
  <si>
    <t>BD-6#拉拉裤</t>
  </si>
  <si>
    <t>WO-ZZ00020563</t>
  </si>
  <si>
    <t>WO-ZZ00020566</t>
  </si>
  <si>
    <t>1.6.16.362</t>
  </si>
  <si>
    <t>WO-ZZ00020564</t>
  </si>
  <si>
    <t>EQ Pants Jumbo Pack XXL （40s +6） x 6 2025-12-16</t>
  </si>
  <si>
    <t>1.6.16.363</t>
  </si>
  <si>
    <t>WO-ZZ00020565</t>
  </si>
  <si>
    <t>EQ Pants Mega Pack XXL （66s+6）×4 2025-12-16</t>
  </si>
  <si>
    <t>WO-ZZ00020706</t>
  </si>
  <si>
    <t>WO-ZZ00020707</t>
  </si>
  <si>
    <t>WO-ZZ00020717</t>
  </si>
  <si>
    <t>1.6.15.371</t>
  </si>
  <si>
    <t>WO-ZZ00020709</t>
  </si>
  <si>
    <t>EQ Pants Big Pack XL 24s+2x8 2025-12-16</t>
  </si>
  <si>
    <t>WO-ZZ00020708</t>
  </si>
  <si>
    <t>WO-ZZ00020618</t>
  </si>
  <si>
    <t>WO-ZZ00020710</t>
  </si>
  <si>
    <t>1.6.14.354</t>
  </si>
  <si>
    <t>WO-ZZ00020615</t>
  </si>
  <si>
    <t>EQ Pants Jumbo Pack L (40s+6) x6 2025-12-16</t>
  </si>
  <si>
    <t>WO-ZZ00020619</t>
  </si>
  <si>
    <t>1.6.15.370</t>
  </si>
  <si>
    <t>EQ Pants Mini Pack XL 4s x 40 2025-12-16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</si>
</sst>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#,##0_ "/>
    <numFmt numFmtId="177" formatCode="m/d;@"/>
    <numFmt numFmtId="178" formatCode="_ * #,##0_ ;_ * \-#,##0_ ;_ * &quot;-&quot;??_ ;_ @_ "/>
    <numFmt numFmtId="179" formatCode="0_ "/>
    <numFmt numFmtId="180" formatCode="yyyy/m/d;@"/>
  </numFmts>
  <fonts count="21">
    <font>
      <sz val="11"/>
      <color theme="1"/>
      <name val="等线"/>
      <charset val="134"/>
    </font>
    <font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b/>
      <sz val="11"/>
      <color indexed="9"/>
      <name val="微软雅黑"/>
      <family val="2"/>
      <charset val="134"/>
    </font>
    <font>
      <sz val="11"/>
      <color indexed="9"/>
      <name val="微软雅黑"/>
      <family val="2"/>
      <charset val="134"/>
    </font>
    <font>
      <sz val="10"/>
      <color rgb="FF333333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name val="Arial"/>
      <family val="2"/>
    </font>
    <font>
      <sz val="9"/>
      <name val="等线"/>
      <family val="4"/>
      <charset val="134"/>
    </font>
    <font>
      <sz val="11"/>
      <color theme="1"/>
      <name val="等线"/>
      <family val="4"/>
      <charset val="13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E1F2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6" fillId="0" borderId="0"/>
    <xf numFmtId="0" fontId="17" fillId="0" borderId="0">
      <alignment vertical="center"/>
    </xf>
  </cellStyleXfs>
  <cellXfs count="10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176" fontId="5" fillId="4" borderId="2" xfId="1" applyNumberFormat="1" applyFont="1" applyFill="1" applyBorder="1" applyAlignment="1">
      <alignment horizontal="center" vertical="center"/>
    </xf>
    <xf numFmtId="176" fontId="5" fillId="4" borderId="1" xfId="1" applyNumberFormat="1" applyFont="1" applyFill="1" applyBorder="1" applyAlignment="1">
      <alignment horizontal="center" vertical="center"/>
    </xf>
    <xf numFmtId="177" fontId="6" fillId="5" borderId="2" xfId="1" applyNumberFormat="1" applyFont="1" applyFill="1" applyBorder="1" applyAlignment="1">
      <alignment horizontal="center" vertical="center"/>
    </xf>
    <xf numFmtId="178" fontId="5" fillId="4" borderId="3" xfId="2" applyNumberFormat="1" applyFont="1" applyFill="1" applyBorder="1">
      <alignment vertical="center"/>
    </xf>
    <xf numFmtId="0" fontId="6" fillId="5" borderId="2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left" vertical="center"/>
    </xf>
    <xf numFmtId="177" fontId="6" fillId="5" borderId="4" xfId="1" applyNumberFormat="1" applyFont="1" applyFill="1" applyBorder="1" applyAlignment="1">
      <alignment horizontal="center" vertical="center" shrinkToFit="1"/>
    </xf>
    <xf numFmtId="177" fontId="6" fillId="5" borderId="1" xfId="1" applyNumberFormat="1" applyFont="1" applyFill="1" applyBorder="1" applyAlignment="1">
      <alignment horizontal="center" vertical="center" shrinkToFit="1"/>
    </xf>
    <xf numFmtId="0" fontId="6" fillId="5" borderId="1" xfId="1" applyFont="1" applyFill="1" applyBorder="1" applyAlignment="1">
      <alignment horizontal="center" vertical="center"/>
    </xf>
    <xf numFmtId="0" fontId="6" fillId="5" borderId="6" xfId="1" applyFont="1" applyFill="1" applyBorder="1" applyAlignment="1">
      <alignment horizontal="center" vertical="center"/>
    </xf>
    <xf numFmtId="0" fontId="6" fillId="5" borderId="7" xfId="2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49" fontId="8" fillId="2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177" fontId="9" fillId="2" borderId="1" xfId="1" applyNumberFormat="1" applyFont="1" applyFill="1" applyBorder="1" applyAlignment="1">
      <alignment horizontal="center" vertical="center"/>
    </xf>
    <xf numFmtId="177" fontId="8" fillId="2" borderId="1" xfId="1" applyNumberFormat="1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2" borderId="8" xfId="1" applyFont="1" applyFill="1" applyBorder="1" applyAlignment="1">
      <alignment horizontal="center" vertical="center"/>
    </xf>
    <xf numFmtId="177" fontId="6" fillId="5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 vertical="center"/>
    </xf>
    <xf numFmtId="177" fontId="11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/>
    </xf>
    <xf numFmtId="177" fontId="9" fillId="2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177" fontId="11" fillId="6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177" fontId="9" fillId="0" borderId="1" xfId="0" applyNumberFormat="1" applyFont="1" applyBorder="1" applyAlignment="1">
      <alignment horizontal="center" vertical="center"/>
    </xf>
    <xf numFmtId="177" fontId="8" fillId="0" borderId="1" xfId="1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79" fontId="8" fillId="2" borderId="1" xfId="1" applyNumberFormat="1" applyFont="1" applyFill="1" applyBorder="1" applyAlignment="1">
      <alignment horizontal="center" vertical="center"/>
    </xf>
    <xf numFmtId="179" fontId="8" fillId="0" borderId="1" xfId="1" applyNumberFormat="1" applyFont="1" applyBorder="1" applyAlignment="1">
      <alignment horizontal="center" vertical="center"/>
    </xf>
    <xf numFmtId="177" fontId="6" fillId="5" borderId="7" xfId="1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77" fontId="6" fillId="7" borderId="2" xfId="1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0" fillId="2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6" fillId="5" borderId="10" xfId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0" fillId="8" borderId="0" xfId="0" applyFill="1">
      <alignment vertical="center"/>
    </xf>
    <xf numFmtId="0" fontId="11" fillId="8" borderId="1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left" vertical="center"/>
    </xf>
    <xf numFmtId="0" fontId="8" fillId="8" borderId="1" xfId="0" applyFont="1" applyFill="1" applyBorder="1" applyAlignment="1">
      <alignment horizontal="center" vertical="center"/>
    </xf>
    <xf numFmtId="177" fontId="9" fillId="8" borderId="1" xfId="0" applyNumberFormat="1" applyFont="1" applyFill="1" applyBorder="1" applyAlignment="1">
      <alignment horizontal="center" vertical="center"/>
    </xf>
    <xf numFmtId="177" fontId="8" fillId="8" borderId="1" xfId="1" applyNumberFormat="1" applyFont="1" applyFill="1" applyBorder="1" applyAlignment="1">
      <alignment horizontal="center" vertical="center"/>
    </xf>
    <xf numFmtId="0" fontId="0" fillId="8" borderId="1" xfId="0" applyFill="1" applyBorder="1">
      <alignment vertical="center"/>
    </xf>
    <xf numFmtId="0" fontId="8" fillId="8" borderId="8" xfId="0" applyFont="1" applyFill="1" applyBorder="1" applyAlignment="1">
      <alignment horizontal="center" vertical="center"/>
    </xf>
    <xf numFmtId="49" fontId="8" fillId="8" borderId="1" xfId="1" applyNumberFormat="1" applyFont="1" applyFill="1" applyBorder="1" applyAlignment="1">
      <alignment horizontal="center" vertical="center"/>
    </xf>
    <xf numFmtId="177" fontId="9" fillId="8" borderId="1" xfId="1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left"/>
    </xf>
    <xf numFmtId="0" fontId="8" fillId="2" borderId="1" xfId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8" fillId="0" borderId="1" xfId="1" applyFont="1" applyBorder="1" applyAlignment="1">
      <alignment horizontal="center" vertical="center"/>
    </xf>
    <xf numFmtId="180" fontId="14" fillId="0" borderId="0" xfId="0" applyNumberFormat="1" applyFont="1">
      <alignment vertical="center"/>
    </xf>
    <xf numFmtId="0" fontId="14" fillId="0" borderId="0" xfId="0" applyFont="1">
      <alignment vertical="center"/>
    </xf>
    <xf numFmtId="180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80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3" fillId="3" borderId="1" xfId="1" quotePrefix="1" applyFont="1" applyFill="1" applyBorder="1" applyAlignment="1">
      <alignment horizontal="center" vertical="center"/>
    </xf>
    <xf numFmtId="0" fontId="0" fillId="0" borderId="0" xfId="0" applyAlignment="1"/>
    <xf numFmtId="0" fontId="18" fillId="9" borderId="15" xfId="0" applyFont="1" applyFill="1" applyBorder="1" applyAlignment="1">
      <alignment horizontal="center"/>
    </xf>
    <xf numFmtId="0" fontId="0" fillId="0" borderId="15" xfId="0" applyBorder="1" applyAlignment="1"/>
    <xf numFmtId="0" fontId="0" fillId="0" borderId="15" xfId="0" applyBorder="1" applyAlignment="1">
      <alignment horizontal="center"/>
    </xf>
    <xf numFmtId="0" fontId="0" fillId="0" borderId="13" xfId="0" applyBorder="1" applyAlignment="1"/>
    <xf numFmtId="0" fontId="0" fillId="0" borderId="14" xfId="0" applyBorder="1" applyAlignment="1"/>
    <xf numFmtId="0" fontId="6" fillId="5" borderId="12" xfId="1" applyFont="1" applyFill="1" applyBorder="1" applyAlignment="1">
      <alignment horizontal="center" vertical="center" shrinkToFit="1"/>
    </xf>
    <xf numFmtId="0" fontId="0" fillId="0" borderId="5" xfId="0" applyBorder="1" applyAlignment="1"/>
    <xf numFmtId="0" fontId="2" fillId="3" borderId="0" xfId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16" xfId="0" applyBorder="1" applyAlignment="1"/>
    <xf numFmtId="0" fontId="20" fillId="0" borderId="0" xfId="0" applyFont="1">
      <alignment vertical="center"/>
    </xf>
  </cellXfs>
  <cellStyles count="3">
    <cellStyle name="Accent1 - 40% 2 3 2" xfId="2" xr:uid="{00000000-0005-0000-0000-000002000000}"/>
    <cellStyle name="常规" xfId="0" builtinId="0"/>
    <cellStyle name="好_奖励补助测算7.25 (version 1) (version 1) 2 2 2 2 2" xfId="1" xr:uid="{00000000-0005-0000-0000-000001000000}"/>
  </cellStyles>
  <dxfs count="125"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00000000-0011-0000-FFFF-FFFF00000000}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firstRowStripe" dxfId="119"/>
      <tableStyleElement type="firstColumnStripe" dxfId="118"/>
    </tableStyle>
    <tableStyle name="PivotStylePreset2_Accent1" table="0" count="10" xr9:uid="{00000000-0011-0000-FFFF-FFFF01000000}">
      <tableStyleElement type="headerRow" dxfId="117"/>
      <tableStyleElement type="totalRow" dxfId="116"/>
      <tableStyleElement type="firstRowStripe" dxfId="115"/>
      <tableStyleElement type="firstColumnStripe" dxfId="114"/>
      <tableStyleElement type="firstSubtotalRow" dxfId="113"/>
      <tableStyleElement type="secondSubtotalRow" dxfId="112"/>
      <tableStyleElement type="firstRowSubheading" dxfId="111"/>
      <tableStyleElement type="secondRowSubheading" dxfId="110"/>
      <tableStyleElement type="pageFieldLabels" dxfId="109"/>
      <tableStyleElement type="pageFieldValues" dxfId="1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showGridLines="0" workbookViewId="0">
      <pane ySplit="1" topLeftCell="A2" activePane="bottomLeft" state="frozen"/>
      <selection pane="bottomLeft" activeCell="E17" sqref="E17"/>
    </sheetView>
  </sheetViews>
  <sheetFormatPr baseColWidth="10" defaultColWidth="8.83203125" defaultRowHeight="15"/>
  <cols>
    <col min="1" max="1" width="13.5" style="84" customWidth="1"/>
    <col min="2" max="2" width="11.1640625" style="85" customWidth="1"/>
  </cols>
  <sheetData>
    <row r="1" spans="1:2">
      <c r="A1" s="86" t="s">
        <v>119</v>
      </c>
      <c r="B1" s="87" t="s">
        <v>120</v>
      </c>
    </row>
    <row r="2" spans="1:2">
      <c r="A2" s="88">
        <v>46143</v>
      </c>
      <c r="B2" s="89">
        <f t="shared" ref="B2:B11" si="0">WEEKDAY(A2,2)</f>
        <v>5</v>
      </c>
    </row>
    <row r="3" spans="1:2">
      <c r="A3" s="88">
        <v>46144</v>
      </c>
      <c r="B3" s="89">
        <f t="shared" si="0"/>
        <v>6</v>
      </c>
    </row>
    <row r="4" spans="1:2">
      <c r="A4" s="88">
        <v>46145</v>
      </c>
      <c r="B4" s="89">
        <f t="shared" si="0"/>
        <v>7</v>
      </c>
    </row>
    <row r="5" spans="1:2">
      <c r="A5" s="88">
        <v>46152</v>
      </c>
      <c r="B5" s="89">
        <f t="shared" si="0"/>
        <v>7</v>
      </c>
    </row>
    <row r="6" spans="1:2">
      <c r="A6" s="88">
        <v>46159</v>
      </c>
      <c r="B6" s="89">
        <f t="shared" si="0"/>
        <v>7</v>
      </c>
    </row>
    <row r="7" spans="1:2">
      <c r="A7" s="88">
        <v>46166</v>
      </c>
      <c r="B7" s="89">
        <f t="shared" si="0"/>
        <v>7</v>
      </c>
    </row>
    <row r="8" spans="1:2">
      <c r="A8" s="88">
        <v>46173</v>
      </c>
      <c r="B8" s="89">
        <f t="shared" si="0"/>
        <v>7</v>
      </c>
    </row>
    <row r="9" spans="1:2">
      <c r="A9" s="88">
        <v>46180</v>
      </c>
      <c r="B9" s="89">
        <f t="shared" si="0"/>
        <v>7</v>
      </c>
    </row>
    <row r="10" spans="1:2">
      <c r="A10" s="88">
        <v>46187</v>
      </c>
      <c r="B10" s="89">
        <f t="shared" si="0"/>
        <v>7</v>
      </c>
    </row>
    <row r="11" spans="1:2">
      <c r="A11" s="88">
        <v>46194</v>
      </c>
      <c r="B11" s="89">
        <f t="shared" si="0"/>
        <v>7</v>
      </c>
    </row>
  </sheetData>
  <phoneticPr fontId="1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C15"/>
  <sheetViews>
    <sheetView workbookViewId="0">
      <selection activeCell="B14" sqref="B14"/>
    </sheetView>
  </sheetViews>
  <sheetFormatPr baseColWidth="10" defaultColWidth="8.83203125" defaultRowHeight="15"/>
  <cols>
    <col min="1" max="3" width="18" style="91" customWidth="1"/>
  </cols>
  <sheetData>
    <row r="1" spans="1:3">
      <c r="A1" s="92" t="s">
        <v>121</v>
      </c>
      <c r="B1" s="92" t="s">
        <v>122</v>
      </c>
      <c r="C1" s="92" t="s">
        <v>123</v>
      </c>
    </row>
    <row r="2" spans="1:3">
      <c r="A2" s="93" t="s">
        <v>0</v>
      </c>
      <c r="B2" s="94">
        <v>8000</v>
      </c>
      <c r="C2" s="94">
        <v>4000</v>
      </c>
    </row>
    <row r="3" spans="1:3">
      <c r="A3" s="93" t="s">
        <v>124</v>
      </c>
      <c r="B3" s="94">
        <v>6000</v>
      </c>
      <c r="C3" s="94">
        <v>3000</v>
      </c>
    </row>
    <row r="4" spans="1:3">
      <c r="A4" s="93" t="s">
        <v>125</v>
      </c>
      <c r="B4" s="94">
        <v>7000</v>
      </c>
      <c r="C4" s="94">
        <v>3500</v>
      </c>
    </row>
    <row r="5" spans="1:3">
      <c r="A5" s="93" t="s">
        <v>126</v>
      </c>
      <c r="B5" s="94">
        <v>7000</v>
      </c>
      <c r="C5" s="94">
        <v>3500</v>
      </c>
    </row>
    <row r="6" spans="1:3">
      <c r="A6" s="93" t="s">
        <v>127</v>
      </c>
      <c r="B6" s="94">
        <v>5000</v>
      </c>
      <c r="C6" s="94">
        <v>2500</v>
      </c>
    </row>
    <row r="7" spans="1:3">
      <c r="A7" s="93" t="s">
        <v>128</v>
      </c>
      <c r="B7" s="94">
        <v>6000</v>
      </c>
      <c r="C7" s="94">
        <v>3000</v>
      </c>
    </row>
    <row r="8" spans="1:3">
      <c r="A8" s="93" t="s">
        <v>129</v>
      </c>
      <c r="B8" s="94">
        <v>6000</v>
      </c>
      <c r="C8" s="94">
        <v>3000</v>
      </c>
    </row>
    <row r="9" spans="1:3">
      <c r="A9" s="93" t="s">
        <v>130</v>
      </c>
      <c r="B9" s="94">
        <v>4000</v>
      </c>
      <c r="C9" s="94">
        <v>2000</v>
      </c>
    </row>
    <row r="10" spans="1:3">
      <c r="A10" s="93" t="s">
        <v>131</v>
      </c>
      <c r="B10" s="94">
        <v>4000</v>
      </c>
      <c r="C10" s="94">
        <v>2000</v>
      </c>
    </row>
    <row r="11" spans="1:3">
      <c r="A11" s="93" t="s">
        <v>132</v>
      </c>
      <c r="B11" s="94">
        <v>7000</v>
      </c>
      <c r="C11" s="94">
        <v>3500</v>
      </c>
    </row>
    <row r="12" spans="1:3">
      <c r="A12" s="93" t="s">
        <v>133</v>
      </c>
      <c r="B12" s="94">
        <v>7000</v>
      </c>
      <c r="C12" s="94">
        <v>3500</v>
      </c>
    </row>
    <row r="13" spans="1:3">
      <c r="A13" s="93" t="s">
        <v>134</v>
      </c>
      <c r="B13" s="94">
        <v>7000</v>
      </c>
      <c r="C13" s="94">
        <v>3500</v>
      </c>
    </row>
    <row r="14" spans="1:3">
      <c r="A14" s="93" t="s">
        <v>135</v>
      </c>
      <c r="B14" s="94">
        <v>7000</v>
      </c>
      <c r="C14" s="94">
        <v>3500</v>
      </c>
    </row>
    <row r="15" spans="1:3">
      <c r="A15" s="93" t="s">
        <v>136</v>
      </c>
      <c r="B15" s="94">
        <v>7000</v>
      </c>
      <c r="C15" s="94">
        <v>3500</v>
      </c>
    </row>
  </sheetData>
  <phoneticPr fontId="19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P52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L2" sqref="L2:L5"/>
    </sheetView>
  </sheetViews>
  <sheetFormatPr baseColWidth="10" defaultColWidth="8.83203125" defaultRowHeight="15"/>
  <cols>
    <col min="1" max="1" width="13" style="91" customWidth="1"/>
    <col min="2" max="2" width="28.33203125" style="3" customWidth="1"/>
    <col min="3" max="3" width="24.83203125" style="91" hidden="1" customWidth="1"/>
    <col min="4" max="4" width="23.1640625" style="91" customWidth="1"/>
    <col min="5" max="5" width="64.3320312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.33203125" style="91" customWidth="1"/>
    <col min="13" max="68" width="9" style="91" customWidth="1"/>
  </cols>
  <sheetData>
    <row r="1" spans="1:68" s="1" customFormat="1" ht="16.25" customHeight="1">
      <c r="A1" s="99" t="s">
        <v>0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81345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147900</v>
      </c>
      <c r="K2" s="5" t="s">
        <v>4</v>
      </c>
      <c r="L2" s="7">
        <f>SUM(M5:AL5)</f>
        <v>3845400</v>
      </c>
      <c r="M2" s="8" t="s">
        <v>5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6</v>
      </c>
      <c r="L4" s="7">
        <f>SUM(AM5:BP5)</f>
        <v>4437000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0"/>
      <c r="G5" s="100"/>
      <c r="I5" s="95"/>
      <c r="J5" s="96"/>
      <c r="K5" s="5" t="s">
        <v>7</v>
      </c>
      <c r="L5" s="9">
        <f>SUM(L1:L3)</f>
        <v>3845400</v>
      </c>
      <c r="M5" s="10">
        <f>IF(M2="单",$J$1,IF(M2="双",$J$2,0))-M3-M6</f>
        <v>147900</v>
      </c>
      <c r="N5" s="10">
        <f>IF(N2="单",$J$1,IF(N2="双",$J$2,0))-N3-N6</f>
        <v>147900</v>
      </c>
      <c r="O5" s="10">
        <f t="shared" ref="M5:AR5" si="0">IF(O2="单",$J$1,IF(O2="双",$J$2,0))-O3-O6</f>
        <v>147900</v>
      </c>
      <c r="P5" s="10">
        <f t="shared" si="0"/>
        <v>147900</v>
      </c>
      <c r="Q5" s="10">
        <f t="shared" si="0"/>
        <v>147900</v>
      </c>
      <c r="R5" s="10">
        <f t="shared" si="0"/>
        <v>147900</v>
      </c>
      <c r="S5" s="10">
        <f t="shared" si="0"/>
        <v>147900</v>
      </c>
      <c r="T5" s="10">
        <f t="shared" si="0"/>
        <v>147900</v>
      </c>
      <c r="U5" s="10">
        <f t="shared" si="0"/>
        <v>147900</v>
      </c>
      <c r="V5" s="10">
        <f t="shared" si="0"/>
        <v>147900</v>
      </c>
      <c r="W5" s="10">
        <f t="shared" si="0"/>
        <v>147900</v>
      </c>
      <c r="X5" s="10">
        <f t="shared" si="0"/>
        <v>147900</v>
      </c>
      <c r="Y5" s="10">
        <f t="shared" si="0"/>
        <v>147900</v>
      </c>
      <c r="Z5" s="10">
        <f t="shared" si="0"/>
        <v>147900</v>
      </c>
      <c r="AA5" s="10">
        <f t="shared" si="0"/>
        <v>147900</v>
      </c>
      <c r="AB5" s="10">
        <f t="shared" si="0"/>
        <v>147900</v>
      </c>
      <c r="AC5" s="10">
        <f t="shared" si="0"/>
        <v>147900</v>
      </c>
      <c r="AD5" s="10">
        <f t="shared" si="0"/>
        <v>147900</v>
      </c>
      <c r="AE5" s="10">
        <f t="shared" si="0"/>
        <v>147900</v>
      </c>
      <c r="AF5" s="10">
        <f t="shared" si="0"/>
        <v>147900</v>
      </c>
      <c r="AG5" s="10">
        <f t="shared" si="0"/>
        <v>147900</v>
      </c>
      <c r="AH5" s="10">
        <f t="shared" si="0"/>
        <v>147900</v>
      </c>
      <c r="AI5" s="10">
        <f t="shared" si="0"/>
        <v>147900</v>
      </c>
      <c r="AJ5" s="10">
        <f t="shared" si="0"/>
        <v>147900</v>
      </c>
      <c r="AK5" s="10">
        <f t="shared" si="0"/>
        <v>147900</v>
      </c>
      <c r="AL5" s="10">
        <f t="shared" si="0"/>
        <v>147900</v>
      </c>
      <c r="AM5" s="10">
        <f t="shared" si="0"/>
        <v>147900</v>
      </c>
      <c r="AN5" s="10">
        <f t="shared" si="0"/>
        <v>147900</v>
      </c>
      <c r="AO5" s="10">
        <f t="shared" si="0"/>
        <v>147900</v>
      </c>
      <c r="AP5" s="10">
        <f t="shared" si="0"/>
        <v>147900</v>
      </c>
      <c r="AQ5" s="10">
        <f t="shared" si="0"/>
        <v>147900</v>
      </c>
      <c r="AR5" s="10">
        <f t="shared" si="0"/>
        <v>147900</v>
      </c>
      <c r="AS5" s="10">
        <f t="shared" ref="AS5:BP5" si="1">IF(AS2="单",$J$1,IF(AS2="双",$J$2,0))-AS3-AS6</f>
        <v>147900</v>
      </c>
      <c r="AT5" s="10">
        <f t="shared" si="1"/>
        <v>147900</v>
      </c>
      <c r="AU5" s="10">
        <f t="shared" si="1"/>
        <v>147900</v>
      </c>
      <c r="AV5" s="10">
        <f t="shared" si="1"/>
        <v>147900</v>
      </c>
      <c r="AW5" s="10">
        <f t="shared" si="1"/>
        <v>147900</v>
      </c>
      <c r="AX5" s="10">
        <f t="shared" si="1"/>
        <v>147900</v>
      </c>
      <c r="AY5" s="10">
        <f t="shared" si="1"/>
        <v>147900</v>
      </c>
      <c r="AZ5" s="10">
        <f t="shared" si="1"/>
        <v>147900</v>
      </c>
      <c r="BA5" s="10">
        <f t="shared" si="1"/>
        <v>147900</v>
      </c>
      <c r="BB5" s="10">
        <f t="shared" si="1"/>
        <v>147900</v>
      </c>
      <c r="BC5" s="10">
        <f t="shared" si="1"/>
        <v>147900</v>
      </c>
      <c r="BD5" s="10">
        <f t="shared" si="1"/>
        <v>147900</v>
      </c>
      <c r="BE5" s="10">
        <f t="shared" si="1"/>
        <v>147900</v>
      </c>
      <c r="BF5" s="10">
        <f t="shared" si="1"/>
        <v>147900</v>
      </c>
      <c r="BG5" s="10">
        <f t="shared" si="1"/>
        <v>147900</v>
      </c>
      <c r="BH5" s="10">
        <f t="shared" si="1"/>
        <v>147900</v>
      </c>
      <c r="BI5" s="10">
        <f t="shared" si="1"/>
        <v>147900</v>
      </c>
      <c r="BJ5" s="10">
        <f t="shared" si="1"/>
        <v>147900</v>
      </c>
      <c r="BK5" s="10">
        <f t="shared" si="1"/>
        <v>147900</v>
      </c>
      <c r="BL5" s="10">
        <f t="shared" si="1"/>
        <v>147900</v>
      </c>
      <c r="BM5" s="10">
        <f t="shared" si="1"/>
        <v>147900</v>
      </c>
      <c r="BN5" s="10">
        <f t="shared" si="1"/>
        <v>147900</v>
      </c>
      <c r="BO5" s="10">
        <f t="shared" si="1"/>
        <v>147900</v>
      </c>
      <c r="BP5" s="10">
        <f t="shared" si="1"/>
        <v>147900</v>
      </c>
    </row>
    <row r="6" spans="1:68" s="69" customFormat="1" ht="17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s="69" customFormat="1" ht="15.5" customHeight="1">
      <c r="A7" s="70" t="s">
        <v>18</v>
      </c>
      <c r="B7" s="70"/>
      <c r="C7" s="70" t="s">
        <v>19</v>
      </c>
      <c r="D7" s="70" t="s">
        <v>20</v>
      </c>
      <c r="E7" s="71" t="s">
        <v>21</v>
      </c>
      <c r="F7" s="72">
        <v>10</v>
      </c>
      <c r="G7" s="72">
        <v>5</v>
      </c>
      <c r="H7" s="73">
        <v>46128</v>
      </c>
      <c r="I7" s="74">
        <v>46148</v>
      </c>
      <c r="J7" s="72">
        <v>1400</v>
      </c>
      <c r="K7" s="72">
        <f>F7*G7*J7</f>
        <v>70000</v>
      </c>
      <c r="L7" s="72">
        <v>0</v>
      </c>
      <c r="M7" s="75">
        <v>1130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</row>
    <row r="8" spans="1:68" s="69" customFormat="1" ht="15.5" customHeight="1">
      <c r="A8" s="76" t="s">
        <v>22</v>
      </c>
      <c r="B8" s="77"/>
      <c r="C8" s="77"/>
      <c r="D8" s="72" t="s">
        <v>23</v>
      </c>
      <c r="E8" s="71" t="s">
        <v>24</v>
      </c>
      <c r="F8" s="72">
        <v>11</v>
      </c>
      <c r="G8" s="72">
        <v>10</v>
      </c>
      <c r="H8" s="78"/>
      <c r="I8" s="74"/>
      <c r="J8" s="72">
        <v>2500</v>
      </c>
      <c r="K8" s="72">
        <f>F8*G8*J8</f>
        <v>275000</v>
      </c>
      <c r="L8" s="76">
        <v>0</v>
      </c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</row>
    <row r="9" spans="1:68" s="69" customFormat="1" ht="15.5" customHeight="1">
      <c r="A9" s="72" t="s">
        <v>25</v>
      </c>
      <c r="B9" s="72" t="s">
        <v>26</v>
      </c>
      <c r="C9" s="72"/>
      <c r="D9" s="72" t="s">
        <v>27</v>
      </c>
      <c r="E9" s="71" t="s">
        <v>28</v>
      </c>
      <c r="F9" s="72">
        <v>10</v>
      </c>
      <c r="G9" s="72">
        <v>8</v>
      </c>
      <c r="H9" s="73">
        <v>46063</v>
      </c>
      <c r="I9" s="73">
        <v>46096</v>
      </c>
      <c r="J9" s="72">
        <v>200</v>
      </c>
      <c r="K9" s="72">
        <f t="shared" ref="K9:K37" si="2">F9*G9*J9</f>
        <v>16000</v>
      </c>
      <c r="L9" s="76">
        <v>0</v>
      </c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</row>
    <row r="10" spans="1:68" s="69" customFormat="1" ht="15.5" customHeight="1">
      <c r="A10" s="72" t="s">
        <v>29</v>
      </c>
      <c r="B10" s="72" t="s">
        <v>30</v>
      </c>
      <c r="C10" s="72"/>
      <c r="D10" s="72" t="s">
        <v>31</v>
      </c>
      <c r="E10" s="71" t="s">
        <v>32</v>
      </c>
      <c r="F10" s="72">
        <v>12</v>
      </c>
      <c r="G10" s="72">
        <v>4</v>
      </c>
      <c r="H10" s="73">
        <v>46063</v>
      </c>
      <c r="I10" s="73">
        <v>46127</v>
      </c>
      <c r="J10" s="72">
        <v>150</v>
      </c>
      <c r="K10" s="72">
        <f t="shared" si="2"/>
        <v>7200</v>
      </c>
      <c r="L10" s="76">
        <v>0</v>
      </c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</row>
    <row r="11" spans="1:68" s="69" customFormat="1" ht="15.5" customHeight="1">
      <c r="A11" s="72" t="s">
        <v>33</v>
      </c>
      <c r="B11" s="72" t="s">
        <v>30</v>
      </c>
      <c r="C11" s="72"/>
      <c r="D11" s="72" t="s">
        <v>34</v>
      </c>
      <c r="E11" s="71" t="s">
        <v>35</v>
      </c>
      <c r="F11" s="72">
        <v>12</v>
      </c>
      <c r="G11" s="72">
        <v>4</v>
      </c>
      <c r="H11" s="73">
        <v>46063</v>
      </c>
      <c r="I11" s="73">
        <v>46127</v>
      </c>
      <c r="J11" s="72">
        <v>200</v>
      </c>
      <c r="K11" s="72">
        <f t="shared" si="2"/>
        <v>9600</v>
      </c>
      <c r="L11" s="76">
        <v>0</v>
      </c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</row>
    <row r="12" spans="1:68" s="69" customFormat="1" ht="15.5" customHeight="1">
      <c r="A12" s="72" t="s">
        <v>36</v>
      </c>
      <c r="B12" s="72" t="s">
        <v>30</v>
      </c>
      <c r="C12" s="72"/>
      <c r="D12" s="72" t="s">
        <v>37</v>
      </c>
      <c r="E12" s="71" t="s">
        <v>38</v>
      </c>
      <c r="F12" s="72">
        <v>15</v>
      </c>
      <c r="G12" s="72">
        <v>4</v>
      </c>
      <c r="H12" s="73">
        <v>46063</v>
      </c>
      <c r="I12" s="73">
        <v>46127</v>
      </c>
      <c r="J12" s="72">
        <v>500</v>
      </c>
      <c r="K12" s="72">
        <f t="shared" si="2"/>
        <v>30000</v>
      </c>
      <c r="L12" s="76">
        <v>0</v>
      </c>
      <c r="M12" s="75">
        <v>500</v>
      </c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</row>
    <row r="13" spans="1:68" ht="17.5" customHeight="1">
      <c r="A13" s="72" t="s">
        <v>39</v>
      </c>
      <c r="B13" s="72" t="s">
        <v>30</v>
      </c>
      <c r="C13" s="72"/>
      <c r="D13" s="72" t="s">
        <v>40</v>
      </c>
      <c r="E13" s="71" t="s">
        <v>41</v>
      </c>
      <c r="F13" s="72">
        <v>15</v>
      </c>
      <c r="G13" s="72">
        <v>4</v>
      </c>
      <c r="H13" s="73">
        <v>46063</v>
      </c>
      <c r="I13" s="73">
        <v>46127</v>
      </c>
      <c r="J13" s="72">
        <v>300</v>
      </c>
      <c r="K13" s="72">
        <f t="shared" si="2"/>
        <v>18000</v>
      </c>
      <c r="L13" s="76">
        <v>0</v>
      </c>
      <c r="M13" s="75">
        <v>300</v>
      </c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</row>
    <row r="14" spans="1:68" s="2" customFormat="1" ht="15.5" customHeight="1">
      <c r="A14" s="35" t="s">
        <v>42</v>
      </c>
      <c r="B14" s="35"/>
      <c r="C14" s="35" t="s">
        <v>43</v>
      </c>
      <c r="D14" s="35" t="s">
        <v>44</v>
      </c>
      <c r="E14" s="21" t="s">
        <v>45</v>
      </c>
      <c r="F14" s="19">
        <v>10</v>
      </c>
      <c r="G14" s="19">
        <v>6</v>
      </c>
      <c r="H14" s="36">
        <v>46114</v>
      </c>
      <c r="I14" s="23">
        <v>46147</v>
      </c>
      <c r="J14" s="19">
        <v>1800</v>
      </c>
      <c r="K14" s="19">
        <f t="shared" si="2"/>
        <v>108000</v>
      </c>
      <c r="L14" s="19">
        <v>0</v>
      </c>
      <c r="M14" s="28">
        <v>456</v>
      </c>
      <c r="N14" s="28">
        <v>1344</v>
      </c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  <row r="15" spans="1:68" s="2" customFormat="1" ht="15.5" customHeight="1">
      <c r="A15" s="26" t="s">
        <v>46</v>
      </c>
      <c r="B15" s="20" t="s">
        <v>47</v>
      </c>
      <c r="C15" s="20" t="s">
        <v>47</v>
      </c>
      <c r="D15" s="68" t="s">
        <v>48</v>
      </c>
      <c r="E15" s="67" t="s">
        <v>49</v>
      </c>
      <c r="F15" s="19">
        <v>15</v>
      </c>
      <c r="G15" s="19">
        <v>4</v>
      </c>
      <c r="H15" s="22"/>
      <c r="I15" s="23">
        <v>46157</v>
      </c>
      <c r="J15" s="19">
        <v>1000</v>
      </c>
      <c r="K15" s="26">
        <f t="shared" si="2"/>
        <v>60000</v>
      </c>
      <c r="L15" s="26">
        <v>0</v>
      </c>
      <c r="M15" s="24"/>
      <c r="N15" s="24">
        <v>987</v>
      </c>
      <c r="O15" s="24">
        <v>13</v>
      </c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</row>
    <row r="16" spans="1:68" ht="18" customHeight="1">
      <c r="A16" s="26" t="s">
        <v>50</v>
      </c>
      <c r="B16" s="20" t="s">
        <v>47</v>
      </c>
      <c r="C16" s="20" t="s">
        <v>47</v>
      </c>
      <c r="D16" s="68" t="s">
        <v>51</v>
      </c>
      <c r="E16" s="67" t="s">
        <v>52</v>
      </c>
      <c r="F16" s="19">
        <v>12</v>
      </c>
      <c r="G16" s="19">
        <v>4</v>
      </c>
      <c r="H16" s="22"/>
      <c r="I16" s="23">
        <v>46157</v>
      </c>
      <c r="J16" s="19">
        <v>1000</v>
      </c>
      <c r="K16" s="26">
        <f t="shared" si="2"/>
        <v>48000</v>
      </c>
      <c r="L16" s="26">
        <v>0</v>
      </c>
      <c r="M16" s="24"/>
      <c r="N16" s="24"/>
      <c r="O16" s="24">
        <v>1000</v>
      </c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</row>
    <row r="17" spans="1:68" ht="17.5" customHeight="1">
      <c r="A17" s="32" t="s">
        <v>53</v>
      </c>
      <c r="B17" s="32"/>
      <c r="C17" s="32" t="s">
        <v>54</v>
      </c>
      <c r="D17" s="32" t="s">
        <v>55</v>
      </c>
      <c r="E17" s="33" t="s">
        <v>56</v>
      </c>
      <c r="F17" s="32">
        <v>10</v>
      </c>
      <c r="G17" s="32">
        <v>12</v>
      </c>
      <c r="H17" s="34">
        <v>46122</v>
      </c>
      <c r="I17" s="34">
        <v>46152</v>
      </c>
      <c r="J17" s="32">
        <v>650</v>
      </c>
      <c r="K17" s="32">
        <f t="shared" si="2"/>
        <v>78000</v>
      </c>
      <c r="L17" s="32">
        <v>0</v>
      </c>
      <c r="M17" s="28"/>
      <c r="N17" s="28"/>
      <c r="O17" s="28">
        <v>650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8" ht="18" customHeight="1">
      <c r="A18" s="35" t="s">
        <v>57</v>
      </c>
      <c r="B18" s="35" t="s">
        <v>43</v>
      </c>
      <c r="C18" s="35" t="s">
        <v>43</v>
      </c>
      <c r="D18" s="44" t="s">
        <v>58</v>
      </c>
      <c r="E18" s="21" t="s">
        <v>59</v>
      </c>
      <c r="F18" s="19">
        <v>9</v>
      </c>
      <c r="G18" s="19">
        <v>6</v>
      </c>
      <c r="H18" s="36">
        <v>46114</v>
      </c>
      <c r="I18" s="23">
        <v>46143</v>
      </c>
      <c r="J18" s="19">
        <v>800</v>
      </c>
      <c r="K18" s="19">
        <f t="shared" si="2"/>
        <v>43200</v>
      </c>
      <c r="L18" s="19">
        <v>0</v>
      </c>
      <c r="M18" s="28"/>
      <c r="N18" s="28"/>
      <c r="O18" s="28">
        <v>94</v>
      </c>
      <c r="P18" s="28">
        <v>706</v>
      </c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7" customHeight="1">
      <c r="A19" s="35" t="s">
        <v>60</v>
      </c>
      <c r="B19" s="35"/>
      <c r="C19" s="35" t="s">
        <v>61</v>
      </c>
      <c r="D19" s="35" t="s">
        <v>62</v>
      </c>
      <c r="E19" s="21" t="s">
        <v>63</v>
      </c>
      <c r="F19" s="19">
        <v>10</v>
      </c>
      <c r="G19" s="19">
        <v>8</v>
      </c>
      <c r="H19" s="36">
        <v>46141</v>
      </c>
      <c r="I19" s="23">
        <v>46160</v>
      </c>
      <c r="J19" s="19">
        <v>380</v>
      </c>
      <c r="K19" s="19">
        <f t="shared" si="2"/>
        <v>30400</v>
      </c>
      <c r="L19" s="19">
        <v>0</v>
      </c>
      <c r="M19" s="28"/>
      <c r="N19" s="28"/>
      <c r="O19" s="28"/>
      <c r="P19" s="28">
        <v>380</v>
      </c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  <row r="20" spans="1:68" ht="17.5" customHeight="1">
      <c r="A20" s="35" t="s">
        <v>64</v>
      </c>
      <c r="B20" s="35"/>
      <c r="C20" s="35"/>
      <c r="D20" s="35" t="s">
        <v>65</v>
      </c>
      <c r="E20" s="21" t="s">
        <v>66</v>
      </c>
      <c r="F20" s="19">
        <v>10</v>
      </c>
      <c r="G20" s="19">
        <v>10</v>
      </c>
      <c r="H20" s="36"/>
      <c r="I20" s="23"/>
      <c r="J20" s="19">
        <v>5000</v>
      </c>
      <c r="K20" s="19">
        <f t="shared" si="2"/>
        <v>500000</v>
      </c>
      <c r="L20" s="19">
        <v>0</v>
      </c>
      <c r="M20" s="28"/>
      <c r="N20" s="28"/>
      <c r="O20" s="28"/>
      <c r="P20" s="28">
        <v>633</v>
      </c>
      <c r="Q20" s="28">
        <v>1479</v>
      </c>
      <c r="R20" s="28">
        <v>1479</v>
      </c>
      <c r="S20" s="28">
        <v>1409</v>
      </c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</row>
    <row r="21" spans="1:68" ht="16" customHeight="1">
      <c r="A21" s="35" t="s">
        <v>67</v>
      </c>
      <c r="B21" s="35" t="s">
        <v>68</v>
      </c>
      <c r="C21" s="79" t="s">
        <v>68</v>
      </c>
      <c r="D21" s="44" t="s">
        <v>69</v>
      </c>
      <c r="E21" s="21" t="s">
        <v>70</v>
      </c>
      <c r="F21" s="19">
        <v>10</v>
      </c>
      <c r="G21" s="19">
        <v>12</v>
      </c>
      <c r="H21" s="36">
        <v>46112</v>
      </c>
      <c r="I21" s="23">
        <v>46174</v>
      </c>
      <c r="J21" s="19">
        <v>530</v>
      </c>
      <c r="K21" s="19">
        <f t="shared" si="2"/>
        <v>63600</v>
      </c>
      <c r="L21" s="19">
        <v>0</v>
      </c>
      <c r="M21" s="28"/>
      <c r="N21" s="28"/>
      <c r="O21" s="28"/>
      <c r="P21" s="28"/>
      <c r="Q21" s="28"/>
      <c r="R21" s="28"/>
      <c r="S21" s="28"/>
      <c r="T21" s="28">
        <v>530</v>
      </c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</row>
    <row r="22" spans="1:68" ht="17.5" customHeight="1">
      <c r="A22" s="35" t="s">
        <v>67</v>
      </c>
      <c r="B22" s="35" t="s">
        <v>71</v>
      </c>
      <c r="C22" s="79" t="s">
        <v>71</v>
      </c>
      <c r="D22" s="44" t="s">
        <v>72</v>
      </c>
      <c r="E22" s="21" t="s">
        <v>70</v>
      </c>
      <c r="F22" s="19">
        <v>10</v>
      </c>
      <c r="G22" s="19">
        <v>12</v>
      </c>
      <c r="H22" s="36">
        <v>46112</v>
      </c>
      <c r="I22" s="23">
        <v>46174</v>
      </c>
      <c r="J22" s="19">
        <v>280</v>
      </c>
      <c r="K22" s="19">
        <f t="shared" si="2"/>
        <v>33600</v>
      </c>
      <c r="L22" s="19">
        <v>0</v>
      </c>
      <c r="M22" s="28"/>
      <c r="N22" s="28"/>
      <c r="O22" s="28"/>
      <c r="P22" s="28"/>
      <c r="Q22" s="28"/>
      <c r="R22" s="28"/>
      <c r="S22" s="28"/>
      <c r="T22" s="28">
        <v>280</v>
      </c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</row>
    <row r="23" spans="1:68" ht="15.5" customHeight="1">
      <c r="A23" s="35" t="s">
        <v>73</v>
      </c>
      <c r="B23" s="35"/>
      <c r="C23" s="35" t="s">
        <v>74</v>
      </c>
      <c r="D23" s="35" t="s">
        <v>75</v>
      </c>
      <c r="E23" s="21" t="s">
        <v>76</v>
      </c>
      <c r="F23" s="19">
        <v>10</v>
      </c>
      <c r="G23" s="19">
        <v>12</v>
      </c>
      <c r="H23" s="36">
        <v>46136</v>
      </c>
      <c r="I23" s="23">
        <v>46168</v>
      </c>
      <c r="J23" s="19">
        <v>97</v>
      </c>
      <c r="K23" s="19">
        <f t="shared" si="2"/>
        <v>11640</v>
      </c>
      <c r="L23" s="19">
        <v>0</v>
      </c>
      <c r="M23" s="28"/>
      <c r="N23" s="28"/>
      <c r="O23" s="28"/>
      <c r="P23" s="28"/>
      <c r="Q23" s="28"/>
      <c r="R23" s="28"/>
      <c r="S23" s="28"/>
      <c r="T23" s="28">
        <v>97</v>
      </c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</row>
    <row r="24" spans="1:68" ht="15.5" customHeight="1">
      <c r="A24" s="19" t="s">
        <v>77</v>
      </c>
      <c r="B24" s="19"/>
      <c r="C24" s="19" t="s">
        <v>78</v>
      </c>
      <c r="D24" s="19" t="s">
        <v>79</v>
      </c>
      <c r="E24" s="21" t="s">
        <v>80</v>
      </c>
      <c r="F24" s="19">
        <v>10</v>
      </c>
      <c r="G24" s="19">
        <v>12</v>
      </c>
      <c r="H24" s="36">
        <v>46056</v>
      </c>
      <c r="I24" s="36">
        <v>46096</v>
      </c>
      <c r="J24" s="19">
        <v>100</v>
      </c>
      <c r="K24" s="19">
        <f t="shared" si="2"/>
        <v>12000</v>
      </c>
      <c r="L24" s="26">
        <v>0</v>
      </c>
      <c r="M24" s="28"/>
      <c r="N24" s="28"/>
      <c r="O24" s="28"/>
      <c r="P24" s="28"/>
      <c r="Q24" s="28"/>
      <c r="R24" s="28"/>
      <c r="S24" s="28"/>
      <c r="T24" s="28">
        <v>100</v>
      </c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</row>
    <row r="25" spans="1:68" ht="14" customHeight="1">
      <c r="A25" s="19" t="s">
        <v>77</v>
      </c>
      <c r="B25" s="19"/>
      <c r="C25" s="19" t="s">
        <v>81</v>
      </c>
      <c r="D25" s="19" t="s">
        <v>82</v>
      </c>
      <c r="E25" s="21" t="s">
        <v>80</v>
      </c>
      <c r="F25" s="19">
        <v>10</v>
      </c>
      <c r="G25" s="19">
        <v>8</v>
      </c>
      <c r="H25" s="36">
        <v>46059</v>
      </c>
      <c r="I25" s="36">
        <v>46109</v>
      </c>
      <c r="J25" s="19">
        <v>500</v>
      </c>
      <c r="K25" s="19">
        <f t="shared" si="2"/>
        <v>40000</v>
      </c>
      <c r="L25" s="26">
        <v>0</v>
      </c>
      <c r="M25" s="28"/>
      <c r="N25" s="28"/>
      <c r="O25" s="28"/>
      <c r="P25" s="28"/>
      <c r="Q25" s="28"/>
      <c r="R25" s="28"/>
      <c r="S25" s="28"/>
      <c r="T25" s="28">
        <v>238</v>
      </c>
      <c r="U25" s="28">
        <v>262</v>
      </c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</row>
    <row r="26" spans="1:68" ht="16" customHeight="1">
      <c r="A26" s="19" t="s">
        <v>83</v>
      </c>
      <c r="B26" s="19"/>
      <c r="C26" s="19" t="s">
        <v>78</v>
      </c>
      <c r="D26" s="19" t="s">
        <v>84</v>
      </c>
      <c r="E26" s="21" t="s">
        <v>85</v>
      </c>
      <c r="F26" s="19">
        <v>10</v>
      </c>
      <c r="G26" s="19">
        <v>8</v>
      </c>
      <c r="H26" s="36">
        <v>46056</v>
      </c>
      <c r="I26" s="36">
        <v>46106</v>
      </c>
      <c r="J26" s="19">
        <v>600</v>
      </c>
      <c r="K26" s="19">
        <f t="shared" si="2"/>
        <v>48000</v>
      </c>
      <c r="L26" s="26">
        <v>0</v>
      </c>
      <c r="M26" s="28"/>
      <c r="N26" s="28"/>
      <c r="O26" s="28"/>
      <c r="P26" s="28"/>
      <c r="Q26" s="28"/>
      <c r="R26" s="28"/>
      <c r="S26" s="28"/>
      <c r="T26" s="28"/>
      <c r="U26" s="28">
        <v>600</v>
      </c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</row>
    <row r="27" spans="1:68" ht="17.5" customHeight="1">
      <c r="A27" s="35" t="s">
        <v>86</v>
      </c>
      <c r="B27" s="35"/>
      <c r="C27" s="35" t="s">
        <v>74</v>
      </c>
      <c r="D27" s="35" t="s">
        <v>87</v>
      </c>
      <c r="E27" s="21" t="s">
        <v>88</v>
      </c>
      <c r="F27" s="19">
        <v>10</v>
      </c>
      <c r="G27" s="19">
        <v>12</v>
      </c>
      <c r="H27" s="36">
        <v>46136</v>
      </c>
      <c r="I27" s="23">
        <v>46168</v>
      </c>
      <c r="J27" s="19">
        <v>300</v>
      </c>
      <c r="K27" s="19">
        <f t="shared" si="2"/>
        <v>36000</v>
      </c>
      <c r="L27" s="19">
        <v>0</v>
      </c>
      <c r="M27" s="28"/>
      <c r="N27" s="28"/>
      <c r="O27" s="28"/>
      <c r="P27" s="28"/>
      <c r="Q27" s="28"/>
      <c r="R27" s="28"/>
      <c r="S27" s="28"/>
      <c r="T27" s="28"/>
      <c r="U27" s="28">
        <v>300</v>
      </c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</row>
    <row r="28" spans="1:68" ht="17.5" customHeight="1">
      <c r="A28" s="35" t="s">
        <v>89</v>
      </c>
      <c r="B28" s="35" t="s">
        <v>71</v>
      </c>
      <c r="C28" s="79" t="s">
        <v>71</v>
      </c>
      <c r="D28" s="44" t="s">
        <v>90</v>
      </c>
      <c r="E28" s="21" t="s">
        <v>91</v>
      </c>
      <c r="F28" s="19">
        <v>10</v>
      </c>
      <c r="G28" s="19">
        <v>12</v>
      </c>
      <c r="H28" s="36">
        <v>46112</v>
      </c>
      <c r="I28" s="23">
        <v>46174</v>
      </c>
      <c r="J28" s="19">
        <v>90</v>
      </c>
      <c r="K28" s="19">
        <f t="shared" si="2"/>
        <v>10800</v>
      </c>
      <c r="L28" s="19">
        <v>0</v>
      </c>
      <c r="M28" s="28"/>
      <c r="N28" s="28"/>
      <c r="O28" s="28"/>
      <c r="P28" s="28"/>
      <c r="Q28" s="28"/>
      <c r="R28" s="28"/>
      <c r="S28" s="28"/>
      <c r="T28" s="28"/>
      <c r="U28" s="28">
        <v>90</v>
      </c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</row>
    <row r="29" spans="1:68" ht="17.5" customHeight="1">
      <c r="A29" s="26" t="s">
        <v>22</v>
      </c>
      <c r="B29" s="20"/>
      <c r="C29" s="20"/>
      <c r="D29" s="35" t="s">
        <v>92</v>
      </c>
      <c r="E29" s="21" t="s">
        <v>24</v>
      </c>
      <c r="F29" s="19">
        <v>11</v>
      </c>
      <c r="G29" s="19">
        <v>10</v>
      </c>
      <c r="H29" s="22"/>
      <c r="I29" s="23"/>
      <c r="J29" s="19">
        <v>4000</v>
      </c>
      <c r="K29" s="19">
        <f t="shared" si="2"/>
        <v>440000</v>
      </c>
      <c r="L29" s="26">
        <v>0</v>
      </c>
      <c r="M29" s="28"/>
      <c r="N29" s="28"/>
      <c r="O29" s="28"/>
      <c r="P29" s="28"/>
      <c r="Q29" s="28"/>
      <c r="R29" s="28"/>
      <c r="S29" s="28">
        <v>63</v>
      </c>
      <c r="T29" s="28"/>
      <c r="U29" s="28">
        <v>146</v>
      </c>
      <c r="V29" s="28">
        <v>1344</v>
      </c>
      <c r="W29" s="28">
        <v>1344</v>
      </c>
      <c r="X29" s="28">
        <v>1103</v>
      </c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</row>
    <row r="30" spans="1:68" ht="17.5" customHeight="1">
      <c r="A30" s="37" t="s">
        <v>93</v>
      </c>
      <c r="B30" s="37"/>
      <c r="C30" s="37" t="s">
        <v>94</v>
      </c>
      <c r="D30" s="37"/>
      <c r="E30" s="38" t="s">
        <v>95</v>
      </c>
      <c r="F30" s="37">
        <v>9</v>
      </c>
      <c r="G30" s="37">
        <v>6</v>
      </c>
      <c r="H30" s="39">
        <v>46148</v>
      </c>
      <c r="I30" s="39">
        <v>46178</v>
      </c>
      <c r="J30" s="37">
        <v>500</v>
      </c>
      <c r="K30" s="37">
        <f t="shared" si="2"/>
        <v>27000</v>
      </c>
      <c r="L30" s="37">
        <v>0</v>
      </c>
      <c r="M30" s="28"/>
      <c r="N30" s="28"/>
      <c r="O30" s="28"/>
      <c r="P30" s="28">
        <v>1</v>
      </c>
      <c r="Q30" s="28"/>
      <c r="R30" s="28"/>
      <c r="S30" s="28"/>
      <c r="T30" s="28"/>
      <c r="U30" s="28"/>
      <c r="V30" s="28"/>
      <c r="W30" s="28"/>
      <c r="X30" s="28">
        <v>343</v>
      </c>
      <c r="Y30" s="28">
        <v>156</v>
      </c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</row>
    <row r="31" spans="1:68" ht="18" customHeight="1">
      <c r="A31" s="37" t="s">
        <v>57</v>
      </c>
      <c r="B31" s="37"/>
      <c r="C31" s="37" t="s">
        <v>94</v>
      </c>
      <c r="D31" s="37"/>
      <c r="E31" s="38" t="s">
        <v>59</v>
      </c>
      <c r="F31" s="37">
        <v>9</v>
      </c>
      <c r="G31" s="37">
        <v>6</v>
      </c>
      <c r="H31" s="39">
        <v>46148</v>
      </c>
      <c r="I31" s="39">
        <v>46183</v>
      </c>
      <c r="J31" s="37">
        <v>500</v>
      </c>
      <c r="K31" s="37">
        <f t="shared" si="2"/>
        <v>27000</v>
      </c>
      <c r="L31" s="37">
        <v>0</v>
      </c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>
        <v>500</v>
      </c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</row>
    <row r="32" spans="1:68" ht="17.5" customHeight="1">
      <c r="A32"/>
      <c r="C32"/>
      <c r="D32"/>
      <c r="E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</row>
    <row r="33" spans="1:68" ht="17.5" customHeight="1">
      <c r="A33" s="80" t="s">
        <v>96</v>
      </c>
      <c r="B33" s="35" t="s">
        <v>97</v>
      </c>
      <c r="C33" s="24"/>
      <c r="D33" s="81" t="s">
        <v>98</v>
      </c>
      <c r="E33" s="80" t="s">
        <v>99</v>
      </c>
      <c r="F33" s="19">
        <v>10</v>
      </c>
      <c r="G33" s="19">
        <v>12</v>
      </c>
      <c r="H33" s="36">
        <v>46083</v>
      </c>
      <c r="I33" s="36">
        <v>46127</v>
      </c>
      <c r="J33" s="19">
        <v>630</v>
      </c>
      <c r="K33" s="19">
        <f t="shared" si="2"/>
        <v>75600</v>
      </c>
      <c r="L33" s="26">
        <v>0</v>
      </c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>
        <v>630</v>
      </c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</row>
    <row r="34" spans="1:68" ht="17" customHeight="1">
      <c r="A34" s="80" t="s">
        <v>100</v>
      </c>
      <c r="B34" s="35" t="s">
        <v>97</v>
      </c>
      <c r="C34" s="24"/>
      <c r="D34" s="81" t="s">
        <v>101</v>
      </c>
      <c r="E34" s="80" t="s">
        <v>102</v>
      </c>
      <c r="F34" s="19">
        <v>10</v>
      </c>
      <c r="G34" s="19">
        <v>12</v>
      </c>
      <c r="H34" s="36">
        <v>46083</v>
      </c>
      <c r="I34" s="36">
        <v>46127</v>
      </c>
      <c r="J34" s="19">
        <v>640</v>
      </c>
      <c r="K34" s="19">
        <f t="shared" si="2"/>
        <v>76800</v>
      </c>
      <c r="L34" s="26">
        <v>0</v>
      </c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>
        <v>240</v>
      </c>
      <c r="Z34" s="28">
        <v>400</v>
      </c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</row>
    <row r="35" spans="1:68" ht="20" customHeight="1">
      <c r="A35" s="80" t="s">
        <v>103</v>
      </c>
      <c r="B35" s="35" t="s">
        <v>97</v>
      </c>
      <c r="C35" s="24"/>
      <c r="D35" s="81" t="s">
        <v>104</v>
      </c>
      <c r="E35" s="80" t="s">
        <v>105</v>
      </c>
      <c r="F35" s="19">
        <v>10</v>
      </c>
      <c r="G35" s="19">
        <v>12</v>
      </c>
      <c r="H35" s="36">
        <v>46083</v>
      </c>
      <c r="I35" s="36">
        <v>46127</v>
      </c>
      <c r="J35" s="19">
        <v>745</v>
      </c>
      <c r="K35" s="19">
        <f t="shared" si="2"/>
        <v>89400</v>
      </c>
      <c r="L35" s="26">
        <v>0</v>
      </c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>
        <v>745</v>
      </c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</row>
    <row r="36" spans="1:68" ht="17.5" customHeight="1">
      <c r="A36" s="80" t="s">
        <v>96</v>
      </c>
      <c r="B36" s="35" t="s">
        <v>106</v>
      </c>
      <c r="C36" s="24"/>
      <c r="D36" s="81" t="s">
        <v>107</v>
      </c>
      <c r="E36" s="80" t="s">
        <v>99</v>
      </c>
      <c r="F36" s="19">
        <v>10</v>
      </c>
      <c r="G36" s="19">
        <v>12</v>
      </c>
      <c r="H36" s="36">
        <v>46084</v>
      </c>
      <c r="I36" s="36">
        <v>46147</v>
      </c>
      <c r="J36" s="19">
        <v>630</v>
      </c>
      <c r="K36" s="19">
        <f t="shared" si="2"/>
        <v>75600</v>
      </c>
      <c r="L36" s="43">
        <v>0</v>
      </c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>
        <v>87</v>
      </c>
      <c r="AA36" s="28">
        <v>543</v>
      </c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</row>
    <row r="37" spans="1:68" ht="18" customHeight="1">
      <c r="A37" s="80" t="s">
        <v>100</v>
      </c>
      <c r="B37" s="35" t="s">
        <v>106</v>
      </c>
      <c r="C37" s="24"/>
      <c r="D37" s="81" t="s">
        <v>108</v>
      </c>
      <c r="E37" s="80" t="s">
        <v>102</v>
      </c>
      <c r="F37" s="19">
        <v>10</v>
      </c>
      <c r="G37" s="19">
        <v>12</v>
      </c>
      <c r="H37" s="36">
        <v>46084</v>
      </c>
      <c r="I37" s="36">
        <v>46147</v>
      </c>
      <c r="J37" s="19">
        <v>640</v>
      </c>
      <c r="K37" s="19">
        <f t="shared" si="2"/>
        <v>76800</v>
      </c>
      <c r="L37" s="43">
        <v>0</v>
      </c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>
        <v>640</v>
      </c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</row>
    <row r="38" spans="1:68"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</row>
    <row r="39" spans="1:68" ht="15.5" customHeight="1"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</row>
    <row r="40" spans="1:68" ht="15.5" customHeight="1">
      <c r="A40" s="1"/>
      <c r="B40" s="1"/>
      <c r="C40" s="1"/>
      <c r="D40" s="1"/>
      <c r="E40" s="82"/>
      <c r="F40" s="1"/>
      <c r="G40" s="1"/>
      <c r="H40" s="1"/>
      <c r="I40" s="1"/>
      <c r="J40" s="1"/>
      <c r="K40" s="1"/>
      <c r="L40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</row>
    <row r="41" spans="1:68" ht="15.5" customHeight="1">
      <c r="A41" s="19" t="s">
        <v>109</v>
      </c>
      <c r="B41" s="66"/>
      <c r="C41" s="20"/>
      <c r="D41" s="83"/>
      <c r="E41" s="21" t="s">
        <v>110</v>
      </c>
      <c r="F41" s="19">
        <v>10</v>
      </c>
      <c r="G41" s="19">
        <v>8</v>
      </c>
      <c r="H41" s="36">
        <v>46050</v>
      </c>
      <c r="I41" s="36">
        <v>46132</v>
      </c>
      <c r="J41" s="19">
        <v>1250</v>
      </c>
      <c r="K41" s="19"/>
      <c r="L41">
        <v>0</v>
      </c>
      <c r="M41" s="28"/>
      <c r="N41" s="28"/>
      <c r="O41" s="28"/>
      <c r="P41" s="28"/>
      <c r="Q41" s="28"/>
      <c r="R41" s="28"/>
      <c r="S41" s="28"/>
      <c r="T41" s="28"/>
      <c r="U41" s="28">
        <v>1</v>
      </c>
      <c r="V41" s="28"/>
      <c r="W41" s="28"/>
      <c r="X41" s="28"/>
      <c r="Y41" s="28"/>
      <c r="Z41" s="28"/>
      <c r="AA41" s="28"/>
      <c r="AB41" s="28">
        <v>1249</v>
      </c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</row>
    <row r="42" spans="1:68" ht="15.5" customHeight="1">
      <c r="A42" s="19" t="s">
        <v>111</v>
      </c>
      <c r="B42" s="66"/>
      <c r="C42" s="20"/>
      <c r="D42" s="83"/>
      <c r="E42" s="21" t="s">
        <v>112</v>
      </c>
      <c r="F42" s="19">
        <v>10</v>
      </c>
      <c r="G42" s="19">
        <v>8</v>
      </c>
      <c r="H42" s="36">
        <v>46050</v>
      </c>
      <c r="I42" s="36">
        <v>46132</v>
      </c>
      <c r="J42" s="19">
        <v>120</v>
      </c>
      <c r="K42" s="19"/>
      <c r="L42">
        <v>0</v>
      </c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>
        <v>120</v>
      </c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</row>
    <row r="43" spans="1:68" ht="15.5" customHeight="1">
      <c r="A43" s="19" t="s">
        <v>113</v>
      </c>
      <c r="B43" s="19"/>
      <c r="C43" s="19"/>
      <c r="D43" s="83"/>
      <c r="E43" s="21" t="s">
        <v>114</v>
      </c>
      <c r="F43" s="19">
        <v>10</v>
      </c>
      <c r="G43" s="19">
        <v>10</v>
      </c>
      <c r="H43" s="36">
        <v>46042</v>
      </c>
      <c r="I43" s="36">
        <v>46132</v>
      </c>
      <c r="J43" s="19">
        <v>100</v>
      </c>
      <c r="K43" s="19"/>
      <c r="L43">
        <v>0</v>
      </c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>
        <v>100</v>
      </c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</row>
    <row r="44" spans="1:68" ht="15.5" customHeight="1">
      <c r="A44" s="19" t="s">
        <v>115</v>
      </c>
      <c r="B44" s="19"/>
      <c r="C44" s="19"/>
      <c r="D44" s="83"/>
      <c r="E44" s="21" t="s">
        <v>116</v>
      </c>
      <c r="F44" s="19">
        <v>10</v>
      </c>
      <c r="G44" s="19">
        <v>10</v>
      </c>
      <c r="H44" s="36">
        <v>46042</v>
      </c>
      <c r="I44" s="36">
        <v>46132</v>
      </c>
      <c r="J44" s="19">
        <v>1100</v>
      </c>
      <c r="K44" s="19"/>
      <c r="L44">
        <v>0</v>
      </c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>
        <v>203</v>
      </c>
      <c r="AC44" s="28">
        <v>897</v>
      </c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</row>
    <row r="45" spans="1:68" ht="17" customHeight="1">
      <c r="A45" s="19" t="s">
        <v>117</v>
      </c>
      <c r="B45" s="19"/>
      <c r="C45" s="19"/>
      <c r="D45" s="83"/>
      <c r="E45" s="21" t="s">
        <v>118</v>
      </c>
      <c r="F45" s="19">
        <v>10</v>
      </c>
      <c r="G45" s="19">
        <v>10</v>
      </c>
      <c r="H45" s="36">
        <v>46042</v>
      </c>
      <c r="I45" s="36">
        <v>46132</v>
      </c>
      <c r="J45" s="19">
        <v>50</v>
      </c>
      <c r="K45" s="19"/>
      <c r="L45">
        <v>0</v>
      </c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>
        <v>50</v>
      </c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</row>
    <row r="47" spans="1:68" ht="15.5" customHeight="1"/>
    <row r="48" spans="1:68" ht="15.5" customHeight="1">
      <c r="I48" s="1"/>
      <c r="J48" s="1"/>
    </row>
    <row r="49" spans="6:10" ht="15.5" customHeight="1">
      <c r="I49" s="1"/>
      <c r="J49" s="1"/>
    </row>
    <row r="50" spans="6:10" ht="17" customHeight="1">
      <c r="I50" s="1"/>
      <c r="J50" s="1"/>
    </row>
    <row r="52" spans="6:10">
      <c r="F52" s="103"/>
    </row>
  </sheetData>
  <autoFilter ref="A5:BP49" xr:uid="{00000000-0009-0000-0000-000002000000}"/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2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P36"/>
  <sheetViews>
    <sheetView showGridLines="0" tabSelected="1" zoomScale="70" zoomScaleNormal="70" workbookViewId="0">
      <pane xSplit="12" ySplit="5" topLeftCell="M6" activePane="bottomRight" state="frozen"/>
      <selection pane="topRight"/>
      <selection pane="bottomLeft"/>
      <selection pane="bottomRight" activeCell="M3" sqref="M3:O3"/>
    </sheetView>
  </sheetViews>
  <sheetFormatPr baseColWidth="10" defaultColWidth="8.83203125" defaultRowHeight="15"/>
  <cols>
    <col min="1" max="1" width="13.83203125" style="91" customWidth="1"/>
    <col min="2" max="2" width="12.6640625" style="91" customWidth="1"/>
    <col min="3" max="4" width="27.1640625" style="91" customWidth="1"/>
    <col min="5" max="5" width="61.1640625" style="48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" style="91" customWidth="1"/>
    <col min="13" max="67" width="9" style="91" customWidth="1"/>
  </cols>
  <sheetData>
    <row r="1" spans="1:68" s="1" customFormat="1" ht="16.25" customHeight="1">
      <c r="A1" s="99" t="s">
        <v>124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123420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224400</v>
      </c>
      <c r="K2" s="5" t="s">
        <v>137</v>
      </c>
      <c r="L2" s="7">
        <f>SUM(M5:AL5)</f>
        <v>5834400</v>
      </c>
      <c r="M2" s="30" t="s">
        <v>5</v>
      </c>
      <c r="N2" s="30" t="s">
        <v>5</v>
      </c>
      <c r="O2" s="30" t="s">
        <v>5</v>
      </c>
      <c r="P2" s="30" t="s">
        <v>5</v>
      </c>
      <c r="Q2" s="30" t="s">
        <v>5</v>
      </c>
      <c r="R2" s="30" t="s">
        <v>5</v>
      </c>
      <c r="S2" s="30" t="s">
        <v>5</v>
      </c>
      <c r="T2" s="30" t="s">
        <v>5</v>
      </c>
      <c r="U2" s="30" t="s">
        <v>5</v>
      </c>
      <c r="V2" s="30" t="s">
        <v>5</v>
      </c>
      <c r="W2" s="30" t="s">
        <v>5</v>
      </c>
      <c r="X2" s="30" t="s">
        <v>5</v>
      </c>
      <c r="Y2" s="30" t="s">
        <v>5</v>
      </c>
      <c r="Z2" s="30" t="s">
        <v>5</v>
      </c>
      <c r="AA2" s="30" t="s">
        <v>5</v>
      </c>
      <c r="AB2" s="30" t="s">
        <v>5</v>
      </c>
      <c r="AC2" s="30" t="s">
        <v>5</v>
      </c>
      <c r="AD2" s="30" t="s">
        <v>5</v>
      </c>
      <c r="AE2" s="30" t="s">
        <v>5</v>
      </c>
      <c r="AF2" s="30" t="s">
        <v>5</v>
      </c>
      <c r="AG2" s="30" t="s">
        <v>5</v>
      </c>
      <c r="AH2" s="30" t="s">
        <v>5</v>
      </c>
      <c r="AI2" s="30" t="s">
        <v>5</v>
      </c>
      <c r="AJ2" s="30" t="s">
        <v>5</v>
      </c>
      <c r="AK2" s="30" t="s">
        <v>5</v>
      </c>
      <c r="AL2" s="30" t="s">
        <v>5</v>
      </c>
      <c r="AM2" s="30" t="s">
        <v>5</v>
      </c>
      <c r="AN2" s="30" t="s">
        <v>5</v>
      </c>
      <c r="AO2" s="30" t="s">
        <v>5</v>
      </c>
      <c r="AP2" s="30" t="s">
        <v>5</v>
      </c>
      <c r="AQ2" s="30" t="s">
        <v>5</v>
      </c>
      <c r="AR2" s="30" t="s">
        <v>5</v>
      </c>
      <c r="AS2" s="30" t="s">
        <v>5</v>
      </c>
      <c r="AT2" s="30" t="s">
        <v>5</v>
      </c>
      <c r="AU2" s="30" t="s">
        <v>5</v>
      </c>
      <c r="AV2" s="30" t="s">
        <v>5</v>
      </c>
      <c r="AW2" s="30" t="s">
        <v>5</v>
      </c>
      <c r="AX2" s="30" t="s">
        <v>5</v>
      </c>
      <c r="AY2" s="30" t="s">
        <v>5</v>
      </c>
      <c r="AZ2" s="30" t="s">
        <v>5</v>
      </c>
      <c r="BA2" s="30" t="s">
        <v>5</v>
      </c>
      <c r="BB2" s="30" t="s">
        <v>5</v>
      </c>
      <c r="BC2" s="30" t="s">
        <v>5</v>
      </c>
      <c r="BD2" s="30" t="s">
        <v>5</v>
      </c>
      <c r="BE2" s="30" t="s">
        <v>5</v>
      </c>
      <c r="BF2" s="30" t="s">
        <v>5</v>
      </c>
      <c r="BG2" s="30" t="s">
        <v>5</v>
      </c>
      <c r="BH2" s="30" t="s">
        <v>5</v>
      </c>
      <c r="BI2" s="30" t="s">
        <v>5</v>
      </c>
      <c r="BJ2" s="30" t="s">
        <v>5</v>
      </c>
      <c r="BK2" s="30" t="s">
        <v>5</v>
      </c>
      <c r="BL2" s="30" t="s">
        <v>5</v>
      </c>
      <c r="BM2" s="30" t="s">
        <v>5</v>
      </c>
      <c r="BN2" s="30" t="s">
        <v>5</v>
      </c>
      <c r="BO2" s="30" t="s">
        <v>5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>
        <f>SUM(AM5:BP5)</f>
        <v>6507600</v>
      </c>
      <c r="M4" s="30">
        <v>46148</v>
      </c>
      <c r="N4" s="30">
        <v>46149</v>
      </c>
      <c r="O4" s="30">
        <v>46150</v>
      </c>
      <c r="P4" s="30">
        <v>46151</v>
      </c>
      <c r="Q4" s="30">
        <v>46152</v>
      </c>
      <c r="R4" s="30">
        <v>46153</v>
      </c>
      <c r="S4" s="30">
        <v>46154</v>
      </c>
      <c r="T4" s="30">
        <v>46155</v>
      </c>
      <c r="U4" s="30">
        <v>46156</v>
      </c>
      <c r="V4" s="30">
        <v>46157</v>
      </c>
      <c r="W4" s="30">
        <v>46158</v>
      </c>
      <c r="X4" s="30">
        <v>46159</v>
      </c>
      <c r="Y4" s="30">
        <v>46160</v>
      </c>
      <c r="Z4" s="30">
        <v>46161</v>
      </c>
      <c r="AA4" s="30">
        <v>46162</v>
      </c>
      <c r="AB4" s="30">
        <v>46163</v>
      </c>
      <c r="AC4" s="30">
        <v>46164</v>
      </c>
      <c r="AD4" s="30">
        <v>46165</v>
      </c>
      <c r="AE4" s="30">
        <v>46166</v>
      </c>
      <c r="AF4" s="30">
        <v>46167</v>
      </c>
      <c r="AG4" s="30">
        <v>46168</v>
      </c>
      <c r="AH4" s="30">
        <v>46169</v>
      </c>
      <c r="AI4" s="30">
        <v>46170</v>
      </c>
      <c r="AJ4" s="30">
        <v>46171</v>
      </c>
      <c r="AK4" s="30">
        <v>46172</v>
      </c>
      <c r="AL4" s="30">
        <v>46173</v>
      </c>
      <c r="AM4" s="30">
        <v>46174</v>
      </c>
      <c r="AN4" s="30">
        <v>46175</v>
      </c>
      <c r="AO4" s="30">
        <v>46176</v>
      </c>
      <c r="AP4" s="30">
        <v>46177</v>
      </c>
      <c r="AQ4" s="30">
        <v>46178</v>
      </c>
      <c r="AR4" s="30">
        <v>46179</v>
      </c>
      <c r="AS4" s="30">
        <v>46180</v>
      </c>
      <c r="AT4" s="30">
        <v>46181</v>
      </c>
      <c r="AU4" s="30">
        <v>46182</v>
      </c>
      <c r="AV4" s="30">
        <v>46183</v>
      </c>
      <c r="AW4" s="30">
        <v>46184</v>
      </c>
      <c r="AX4" s="30">
        <v>46185</v>
      </c>
      <c r="AY4" s="30">
        <v>46186</v>
      </c>
      <c r="AZ4" s="30">
        <v>46187</v>
      </c>
      <c r="BA4" s="30">
        <v>46188</v>
      </c>
      <c r="BB4" s="30">
        <v>46189</v>
      </c>
      <c r="BC4" s="30">
        <v>46190</v>
      </c>
      <c r="BD4" s="30">
        <v>46191</v>
      </c>
      <c r="BE4" s="30">
        <v>46192</v>
      </c>
      <c r="BF4" s="30">
        <v>46193</v>
      </c>
      <c r="BG4" s="30">
        <v>46194</v>
      </c>
      <c r="BH4" s="30">
        <v>46195</v>
      </c>
      <c r="BI4" s="30">
        <v>46196</v>
      </c>
      <c r="BJ4" s="30">
        <v>46197</v>
      </c>
      <c r="BK4" s="30">
        <v>46198</v>
      </c>
      <c r="BL4" s="30">
        <v>46199</v>
      </c>
      <c r="BM4" s="30">
        <v>46200</v>
      </c>
      <c r="BN4" s="30">
        <v>46201</v>
      </c>
      <c r="BO4" s="30">
        <v>46202</v>
      </c>
    </row>
    <row r="5" spans="1:68" s="1" customFormat="1" ht="15.5" customHeight="1">
      <c r="F5" s="100"/>
      <c r="G5" s="100"/>
      <c r="I5" s="95"/>
      <c r="J5" s="96"/>
      <c r="K5" s="5" t="s">
        <v>7</v>
      </c>
      <c r="L5" s="9">
        <f>SUM(L1:L3)</f>
        <v>5834400</v>
      </c>
      <c r="M5" s="15">
        <f t="shared" ref="M5:AR5" si="0">IF(M2="单",$J$1,IF(M2="双",$J$2,0))-M3-M6</f>
        <v>224400</v>
      </c>
      <c r="N5" s="15">
        <f t="shared" si="0"/>
        <v>224400</v>
      </c>
      <c r="O5" s="15">
        <f t="shared" si="0"/>
        <v>224400</v>
      </c>
      <c r="P5" s="15">
        <f t="shared" si="0"/>
        <v>224400</v>
      </c>
      <c r="Q5" s="15">
        <f t="shared" si="0"/>
        <v>224400</v>
      </c>
      <c r="R5" s="15">
        <f t="shared" si="0"/>
        <v>224400</v>
      </c>
      <c r="S5" s="15">
        <f t="shared" si="0"/>
        <v>224400</v>
      </c>
      <c r="T5" s="15">
        <f t="shared" si="0"/>
        <v>224400</v>
      </c>
      <c r="U5" s="15">
        <f t="shared" si="0"/>
        <v>224400</v>
      </c>
      <c r="V5" s="15">
        <f t="shared" si="0"/>
        <v>224400</v>
      </c>
      <c r="W5" s="15">
        <f t="shared" si="0"/>
        <v>224400</v>
      </c>
      <c r="X5" s="15">
        <f t="shared" si="0"/>
        <v>224400</v>
      </c>
      <c r="Y5" s="15">
        <f t="shared" si="0"/>
        <v>224400</v>
      </c>
      <c r="Z5" s="15">
        <f t="shared" si="0"/>
        <v>224400</v>
      </c>
      <c r="AA5" s="15">
        <f t="shared" si="0"/>
        <v>224400</v>
      </c>
      <c r="AB5" s="15">
        <f t="shared" si="0"/>
        <v>224400</v>
      </c>
      <c r="AC5" s="15">
        <f t="shared" si="0"/>
        <v>224400</v>
      </c>
      <c r="AD5" s="15">
        <f t="shared" si="0"/>
        <v>224400</v>
      </c>
      <c r="AE5" s="15">
        <f t="shared" si="0"/>
        <v>224400</v>
      </c>
      <c r="AF5" s="15">
        <f t="shared" si="0"/>
        <v>224400</v>
      </c>
      <c r="AG5" s="15">
        <f t="shared" si="0"/>
        <v>224400</v>
      </c>
      <c r="AH5" s="15">
        <f t="shared" si="0"/>
        <v>224400</v>
      </c>
      <c r="AI5" s="15">
        <f t="shared" si="0"/>
        <v>224400</v>
      </c>
      <c r="AJ5" s="15">
        <f t="shared" si="0"/>
        <v>224400</v>
      </c>
      <c r="AK5" s="15">
        <f t="shared" si="0"/>
        <v>224400</v>
      </c>
      <c r="AL5" s="15">
        <f t="shared" si="0"/>
        <v>224400</v>
      </c>
      <c r="AM5" s="15">
        <f t="shared" si="0"/>
        <v>224400</v>
      </c>
      <c r="AN5" s="15">
        <f t="shared" si="0"/>
        <v>224400</v>
      </c>
      <c r="AO5" s="15">
        <f t="shared" si="0"/>
        <v>224400</v>
      </c>
      <c r="AP5" s="15">
        <f t="shared" si="0"/>
        <v>224400</v>
      </c>
      <c r="AQ5" s="15">
        <f t="shared" si="0"/>
        <v>224400</v>
      </c>
      <c r="AR5" s="15">
        <f t="shared" si="0"/>
        <v>224400</v>
      </c>
      <c r="AS5" s="15">
        <f t="shared" ref="AS5:BP5" si="1">IF(AS2="单",$J$1,IF(AS2="双",$J$2,0))-AS3-AS6</f>
        <v>224400</v>
      </c>
      <c r="AT5" s="15">
        <f t="shared" si="1"/>
        <v>224400</v>
      </c>
      <c r="AU5" s="15">
        <f t="shared" si="1"/>
        <v>224400</v>
      </c>
      <c r="AV5" s="15">
        <f t="shared" si="1"/>
        <v>224400</v>
      </c>
      <c r="AW5" s="15">
        <f t="shared" si="1"/>
        <v>224400</v>
      </c>
      <c r="AX5" s="15">
        <f t="shared" si="1"/>
        <v>224400</v>
      </c>
      <c r="AY5" s="15">
        <f t="shared" si="1"/>
        <v>224400</v>
      </c>
      <c r="AZ5" s="15">
        <f t="shared" si="1"/>
        <v>224400</v>
      </c>
      <c r="BA5" s="15">
        <f t="shared" si="1"/>
        <v>224400</v>
      </c>
      <c r="BB5" s="15">
        <f t="shared" si="1"/>
        <v>224400</v>
      </c>
      <c r="BC5" s="15">
        <f t="shared" si="1"/>
        <v>224400</v>
      </c>
      <c r="BD5" s="15">
        <f t="shared" si="1"/>
        <v>224400</v>
      </c>
      <c r="BE5" s="15">
        <f t="shared" si="1"/>
        <v>224400</v>
      </c>
      <c r="BF5" s="15">
        <f t="shared" si="1"/>
        <v>224400</v>
      </c>
      <c r="BG5" s="15">
        <f t="shared" si="1"/>
        <v>224400</v>
      </c>
      <c r="BH5" s="15">
        <f t="shared" si="1"/>
        <v>224400</v>
      </c>
      <c r="BI5" s="15">
        <f t="shared" si="1"/>
        <v>224400</v>
      </c>
      <c r="BJ5" s="15">
        <f t="shared" si="1"/>
        <v>224400</v>
      </c>
      <c r="BK5" s="15">
        <f t="shared" si="1"/>
        <v>224400</v>
      </c>
      <c r="BL5" s="15">
        <f t="shared" si="1"/>
        <v>224400</v>
      </c>
      <c r="BM5" s="15">
        <f t="shared" si="1"/>
        <v>224400</v>
      </c>
      <c r="BN5" s="15">
        <f t="shared" si="1"/>
        <v>224400</v>
      </c>
      <c r="BO5" s="15">
        <f t="shared" si="1"/>
        <v>224400</v>
      </c>
      <c r="BP5">
        <f t="shared" si="1"/>
        <v>0</v>
      </c>
    </row>
    <row r="6" spans="1:68" ht="15.5" customHeight="1">
      <c r="A6" s="11" t="s">
        <v>8</v>
      </c>
      <c r="B6" s="11" t="s">
        <v>9</v>
      </c>
      <c r="C6" s="11" t="s">
        <v>9</v>
      </c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65" t="s">
        <v>16</v>
      </c>
      <c r="L6" s="31" t="s">
        <v>17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</row>
    <row r="7" spans="1:68" ht="17.5" customHeight="1">
      <c r="A7" s="26" t="s">
        <v>138</v>
      </c>
      <c r="B7" s="20"/>
      <c r="C7" s="66"/>
      <c r="D7" s="20" t="s">
        <v>139</v>
      </c>
      <c r="E7" s="67" t="s">
        <v>140</v>
      </c>
      <c r="F7" s="19">
        <v>22</v>
      </c>
      <c r="G7" s="19">
        <v>4</v>
      </c>
      <c r="H7" s="22"/>
      <c r="I7" s="23"/>
      <c r="J7" s="19">
        <v>4071</v>
      </c>
      <c r="K7" s="19">
        <f>F7*G7*J7</f>
        <v>358248</v>
      </c>
      <c r="L7" s="26">
        <v>0</v>
      </c>
      <c r="M7" s="28">
        <v>2550</v>
      </c>
      <c r="N7" s="28">
        <v>1521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</row>
    <row r="8" spans="1:68" ht="17" customHeight="1">
      <c r="A8" s="35" t="s">
        <v>141</v>
      </c>
      <c r="B8" s="35"/>
      <c r="C8" s="35" t="s">
        <v>142</v>
      </c>
      <c r="D8" s="35" t="s">
        <v>143</v>
      </c>
      <c r="E8" s="21" t="s">
        <v>144</v>
      </c>
      <c r="F8" s="19">
        <v>10</v>
      </c>
      <c r="G8" s="19">
        <v>5</v>
      </c>
      <c r="H8" s="36">
        <v>46140</v>
      </c>
      <c r="I8" s="23">
        <v>46148</v>
      </c>
      <c r="J8" s="19">
        <v>90</v>
      </c>
      <c r="K8" s="19">
        <f t="shared" ref="K8:K36" si="2">F8*G8*J8</f>
        <v>4500</v>
      </c>
      <c r="L8" s="19">
        <v>0</v>
      </c>
      <c r="M8" s="28"/>
      <c r="N8" s="28">
        <v>90</v>
      </c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</row>
    <row r="9" spans="1:68" s="2" customFormat="1" ht="14" customHeight="1">
      <c r="A9" s="19" t="s">
        <v>145</v>
      </c>
      <c r="B9" s="19"/>
      <c r="C9" s="19" t="s">
        <v>146</v>
      </c>
      <c r="D9" s="19" t="s">
        <v>147</v>
      </c>
      <c r="E9" s="21" t="s">
        <v>148</v>
      </c>
      <c r="F9" s="19">
        <v>10</v>
      </c>
      <c r="G9" s="19">
        <v>6</v>
      </c>
      <c r="H9" s="36">
        <v>46058</v>
      </c>
      <c r="I9" s="36">
        <v>46112</v>
      </c>
      <c r="J9" s="19">
        <v>1500</v>
      </c>
      <c r="K9" s="19">
        <f t="shared" si="2"/>
        <v>90000</v>
      </c>
      <c r="L9" s="26">
        <v>0</v>
      </c>
      <c r="M9" s="28"/>
      <c r="N9" s="28">
        <v>1434</v>
      </c>
      <c r="O9" s="28">
        <v>66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</row>
    <row r="10" spans="1:68" ht="17.5" customHeight="1">
      <c r="A10" s="19" t="s">
        <v>83</v>
      </c>
      <c r="B10" s="19"/>
      <c r="C10" s="19"/>
      <c r="D10" s="19" t="s">
        <v>149</v>
      </c>
      <c r="E10" s="21" t="s">
        <v>85</v>
      </c>
      <c r="F10" s="19">
        <v>10</v>
      </c>
      <c r="G10" s="19">
        <v>8</v>
      </c>
      <c r="H10" s="36">
        <v>46094</v>
      </c>
      <c r="I10" s="36">
        <v>46127</v>
      </c>
      <c r="J10" s="19">
        <v>500</v>
      </c>
      <c r="K10" s="19">
        <f t="shared" si="2"/>
        <v>40000</v>
      </c>
      <c r="L10" s="26">
        <v>0</v>
      </c>
      <c r="M10" s="24"/>
      <c r="N10" s="24"/>
      <c r="O10" s="24">
        <v>500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</row>
    <row r="11" spans="1:68" ht="17.5" customHeight="1">
      <c r="A11" s="35" t="s">
        <v>150</v>
      </c>
      <c r="B11" s="35"/>
      <c r="C11" s="35" t="s">
        <v>43</v>
      </c>
      <c r="D11" s="35" t="s">
        <v>151</v>
      </c>
      <c r="E11" s="21" t="s">
        <v>152</v>
      </c>
      <c r="F11" s="19">
        <v>10</v>
      </c>
      <c r="G11" s="19">
        <v>6</v>
      </c>
      <c r="H11" s="36">
        <v>46114</v>
      </c>
      <c r="I11" s="23">
        <v>46167</v>
      </c>
      <c r="J11" s="19">
        <v>600</v>
      </c>
      <c r="K11" s="19">
        <f t="shared" si="2"/>
        <v>36000</v>
      </c>
      <c r="L11" s="19">
        <v>0</v>
      </c>
      <c r="M11" s="28"/>
      <c r="N11" s="28"/>
      <c r="O11" s="28">
        <v>600</v>
      </c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</row>
    <row r="12" spans="1:68" ht="16" customHeight="1">
      <c r="A12" s="35" t="s">
        <v>153</v>
      </c>
      <c r="B12" s="35"/>
      <c r="C12" s="35" t="s">
        <v>154</v>
      </c>
      <c r="D12" s="35" t="s">
        <v>155</v>
      </c>
      <c r="E12" s="21" t="s">
        <v>156</v>
      </c>
      <c r="F12" s="19">
        <v>10</v>
      </c>
      <c r="G12" s="19">
        <v>12</v>
      </c>
      <c r="H12" s="36">
        <v>46129</v>
      </c>
      <c r="I12" s="23">
        <v>46159</v>
      </c>
      <c r="J12" s="19">
        <v>567</v>
      </c>
      <c r="K12" s="19">
        <f t="shared" si="2"/>
        <v>68040</v>
      </c>
      <c r="L12" s="19">
        <v>0</v>
      </c>
      <c r="M12" s="28"/>
      <c r="N12" s="28"/>
      <c r="O12" s="28">
        <v>567</v>
      </c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</row>
    <row r="13" spans="1:68" ht="15.5" customHeight="1">
      <c r="A13" s="26" t="s">
        <v>157</v>
      </c>
      <c r="B13" s="20"/>
      <c r="C13" s="20"/>
      <c r="D13" s="68" t="s">
        <v>158</v>
      </c>
      <c r="E13" s="67" t="s">
        <v>159</v>
      </c>
      <c r="F13" s="19">
        <v>24</v>
      </c>
      <c r="G13" s="19">
        <v>2</v>
      </c>
      <c r="H13" s="22"/>
      <c r="I13" s="23"/>
      <c r="J13" s="19">
        <v>1000</v>
      </c>
      <c r="K13" s="19">
        <f t="shared" si="2"/>
        <v>48000</v>
      </c>
      <c r="L13" s="26">
        <v>0</v>
      </c>
      <c r="M13" s="28"/>
      <c r="N13" s="28"/>
      <c r="O13" s="28">
        <v>1000</v>
      </c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</row>
    <row r="14" spans="1:68" ht="15.5" customHeight="1">
      <c r="A14" s="26" t="s">
        <v>138</v>
      </c>
      <c r="B14" s="20"/>
      <c r="C14" s="66"/>
      <c r="D14" s="19" t="s">
        <v>160</v>
      </c>
      <c r="E14" s="67" t="s">
        <v>140</v>
      </c>
      <c r="F14" s="19">
        <v>22</v>
      </c>
      <c r="G14" s="19">
        <v>4</v>
      </c>
      <c r="H14" s="22"/>
      <c r="I14" s="23"/>
      <c r="J14" s="19">
        <v>8000</v>
      </c>
      <c r="K14" s="19">
        <f t="shared" si="2"/>
        <v>704000</v>
      </c>
      <c r="L14" s="26">
        <v>0</v>
      </c>
      <c r="M14" s="28"/>
      <c r="N14" s="28"/>
      <c r="O14" s="28">
        <v>323</v>
      </c>
      <c r="P14" s="28">
        <v>2550</v>
      </c>
      <c r="Q14" s="28"/>
      <c r="R14" s="28">
        <v>2550</v>
      </c>
      <c r="S14" s="28">
        <v>2550</v>
      </c>
      <c r="T14" s="28">
        <v>27</v>
      </c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</row>
    <row r="15" spans="1:68" ht="15" customHeight="1">
      <c r="A15" s="26" t="s">
        <v>161</v>
      </c>
      <c r="B15" s="20"/>
      <c r="C15" s="20"/>
      <c r="D15" s="19" t="s">
        <v>162</v>
      </c>
      <c r="E15" s="67" t="s">
        <v>163</v>
      </c>
      <c r="F15" s="19">
        <v>11</v>
      </c>
      <c r="G15" s="19">
        <v>10</v>
      </c>
      <c r="H15" s="22"/>
      <c r="I15" s="23"/>
      <c r="J15" s="19">
        <v>6000</v>
      </c>
      <c r="K15" s="19">
        <f t="shared" si="2"/>
        <v>660000</v>
      </c>
      <c r="L15" s="26">
        <v>0</v>
      </c>
      <c r="M15" s="28"/>
      <c r="N15" s="28"/>
      <c r="O15" s="28"/>
      <c r="P15" s="28"/>
      <c r="Q15" s="28"/>
      <c r="R15" s="28"/>
      <c r="S15" s="28"/>
      <c r="T15" s="28">
        <v>2018</v>
      </c>
      <c r="U15" s="28">
        <v>2040</v>
      </c>
      <c r="V15" s="28">
        <v>1942</v>
      </c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</row>
    <row r="16" spans="1:68" ht="15.5" customHeight="1">
      <c r="A16" s="26" t="s">
        <v>164</v>
      </c>
      <c r="B16" s="20"/>
      <c r="C16" s="20"/>
      <c r="D16" s="35" t="s">
        <v>165</v>
      </c>
      <c r="E16" s="67" t="s">
        <v>166</v>
      </c>
      <c r="F16" s="19">
        <v>10</v>
      </c>
      <c r="G16" s="19">
        <v>6</v>
      </c>
      <c r="H16" s="22"/>
      <c r="I16" s="23"/>
      <c r="J16" s="19">
        <v>2500</v>
      </c>
      <c r="K16" s="19">
        <f t="shared" si="2"/>
        <v>150000</v>
      </c>
      <c r="L16" s="26">
        <v>0</v>
      </c>
      <c r="M16" s="28"/>
      <c r="N16" s="28"/>
      <c r="O16" s="28"/>
      <c r="P16" s="28"/>
      <c r="Q16" s="28"/>
      <c r="R16" s="28"/>
      <c r="S16" s="28"/>
      <c r="T16" s="28"/>
      <c r="U16" s="28"/>
      <c r="V16" s="28">
        <v>180</v>
      </c>
      <c r="W16" s="28">
        <v>2320</v>
      </c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</row>
    <row r="17" spans="1:68" ht="16" customHeight="1">
      <c r="A17" s="26" t="s">
        <v>167</v>
      </c>
      <c r="B17" s="20"/>
      <c r="C17" s="20"/>
      <c r="D17" s="20" t="s">
        <v>168</v>
      </c>
      <c r="E17" s="67" t="s">
        <v>169</v>
      </c>
      <c r="F17" s="19">
        <v>10</v>
      </c>
      <c r="G17" s="19">
        <v>12</v>
      </c>
      <c r="H17" s="22"/>
      <c r="I17" s="23"/>
      <c r="J17" s="19">
        <v>880</v>
      </c>
      <c r="K17" s="19">
        <f t="shared" si="2"/>
        <v>105600</v>
      </c>
      <c r="L17" s="26">
        <v>0</v>
      </c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>
        <v>710</v>
      </c>
      <c r="X17" s="28"/>
      <c r="Y17" s="28">
        <v>170</v>
      </c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</row>
    <row r="18" spans="1:68" ht="15.5" customHeight="1">
      <c r="A18" s="26" t="s">
        <v>22</v>
      </c>
      <c r="B18" s="20"/>
      <c r="C18" s="20"/>
      <c r="D18" s="19" t="s">
        <v>170</v>
      </c>
      <c r="E18" s="21" t="s">
        <v>24</v>
      </c>
      <c r="F18" s="19">
        <v>11</v>
      </c>
      <c r="G18" s="19">
        <v>10</v>
      </c>
      <c r="H18" s="22"/>
      <c r="I18" s="23"/>
      <c r="J18" s="19">
        <v>4000</v>
      </c>
      <c r="K18" s="19">
        <f t="shared" si="2"/>
        <v>440000</v>
      </c>
      <c r="L18" s="43">
        <v>0</v>
      </c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>
        <v>1855</v>
      </c>
      <c r="Z18" s="28">
        <v>2040</v>
      </c>
      <c r="AA18" s="28">
        <v>105</v>
      </c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6" customHeight="1">
      <c r="A19" s="19" t="s">
        <v>171</v>
      </c>
      <c r="B19" s="19"/>
      <c r="C19" s="19" t="s">
        <v>78</v>
      </c>
      <c r="D19" s="19" t="s">
        <v>172</v>
      </c>
      <c r="E19" s="21" t="s">
        <v>173</v>
      </c>
      <c r="F19" s="19">
        <v>10</v>
      </c>
      <c r="G19" s="19">
        <v>8</v>
      </c>
      <c r="H19" s="36">
        <v>46056</v>
      </c>
      <c r="I19" s="36">
        <v>46096</v>
      </c>
      <c r="J19" s="19">
        <v>1500</v>
      </c>
      <c r="K19" s="19">
        <f t="shared" si="2"/>
        <v>120000</v>
      </c>
      <c r="L19" s="26">
        <v>0</v>
      </c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>
        <v>1500</v>
      </c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</row>
    <row r="20" spans="1:68" ht="15.5" customHeight="1">
      <c r="A20" s="35" t="s">
        <v>171</v>
      </c>
      <c r="B20" s="35"/>
      <c r="C20" s="35" t="s">
        <v>61</v>
      </c>
      <c r="D20" s="35" t="s">
        <v>174</v>
      </c>
      <c r="E20" s="21" t="s">
        <v>173</v>
      </c>
      <c r="F20" s="19">
        <v>10</v>
      </c>
      <c r="G20" s="19">
        <v>8</v>
      </c>
      <c r="H20" s="36">
        <v>46141</v>
      </c>
      <c r="I20" s="23">
        <v>46171</v>
      </c>
      <c r="J20" s="19">
        <v>2000</v>
      </c>
      <c r="K20" s="19">
        <f t="shared" si="2"/>
        <v>160000</v>
      </c>
      <c r="L20" s="19">
        <v>0</v>
      </c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>
        <v>1161</v>
      </c>
      <c r="AB20" s="28">
        <v>839</v>
      </c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</row>
    <row r="21" spans="1:68" ht="16" customHeight="1">
      <c r="A21" s="19" t="s">
        <v>175</v>
      </c>
      <c r="B21" s="20"/>
      <c r="C21" s="19" t="s">
        <v>81</v>
      </c>
      <c r="D21" s="19" t="s">
        <v>176</v>
      </c>
      <c r="E21" s="67" t="s">
        <v>177</v>
      </c>
      <c r="F21" s="19">
        <v>10</v>
      </c>
      <c r="G21" s="19">
        <v>8</v>
      </c>
      <c r="H21" s="36">
        <v>46059</v>
      </c>
      <c r="I21" s="36">
        <v>46109</v>
      </c>
      <c r="J21" s="19">
        <v>2000</v>
      </c>
      <c r="K21" s="19">
        <f t="shared" si="2"/>
        <v>160000</v>
      </c>
      <c r="L21" s="26">
        <v>0</v>
      </c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>
        <v>1966</v>
      </c>
      <c r="AC21" s="28">
        <v>34</v>
      </c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</row>
    <row r="22" spans="1:68" ht="15.5" customHeight="1">
      <c r="A22" s="26" t="s">
        <v>178</v>
      </c>
      <c r="B22" s="20"/>
      <c r="C22" s="20"/>
      <c r="D22" s="68" t="s">
        <v>179</v>
      </c>
      <c r="E22" s="67" t="s">
        <v>180</v>
      </c>
      <c r="F22" s="19">
        <v>24</v>
      </c>
      <c r="G22" s="19">
        <v>2</v>
      </c>
      <c r="H22" s="22"/>
      <c r="I22" s="23"/>
      <c r="J22" s="19">
        <v>4000</v>
      </c>
      <c r="K22" s="19">
        <f t="shared" si="2"/>
        <v>192000</v>
      </c>
      <c r="L22" s="26">
        <v>0</v>
      </c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>
        <v>4000</v>
      </c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</row>
    <row r="23" spans="1:68" ht="15.5" customHeight="1">
      <c r="A23" s="26" t="s">
        <v>138</v>
      </c>
      <c r="B23" s="20"/>
      <c r="C23" s="66"/>
      <c r="D23" s="20"/>
      <c r="E23" s="67" t="s">
        <v>140</v>
      </c>
      <c r="F23" s="19">
        <v>22</v>
      </c>
      <c r="G23" s="19">
        <v>4</v>
      </c>
      <c r="H23" s="22"/>
      <c r="I23" s="23"/>
      <c r="J23" s="19">
        <v>4000</v>
      </c>
      <c r="K23" s="19">
        <f t="shared" si="2"/>
        <v>352000</v>
      </c>
      <c r="L23" s="26">
        <v>0</v>
      </c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>
        <v>337</v>
      </c>
      <c r="AD23" s="28">
        <v>2550</v>
      </c>
      <c r="AE23" s="28"/>
      <c r="AF23" s="28">
        <v>1113</v>
      </c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</row>
    <row r="24" spans="1:68" ht="15.5" customHeight="1">
      <c r="A24" s="26" t="s">
        <v>181</v>
      </c>
      <c r="B24" s="20"/>
      <c r="C24" s="66"/>
      <c r="D24" s="20"/>
      <c r="E24" s="67" t="s">
        <v>182</v>
      </c>
      <c r="F24" s="19">
        <v>10</v>
      </c>
      <c r="G24" s="19">
        <v>12</v>
      </c>
      <c r="H24" s="22"/>
      <c r="I24" s="23"/>
      <c r="J24" s="19">
        <v>200</v>
      </c>
      <c r="K24" s="19">
        <f t="shared" si="2"/>
        <v>24000</v>
      </c>
      <c r="L24" s="26">
        <v>0</v>
      </c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>
        <v>200</v>
      </c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</row>
    <row r="25" spans="1:68" ht="15.5" customHeight="1">
      <c r="A25" s="26" t="s">
        <v>183</v>
      </c>
      <c r="B25" s="20"/>
      <c r="C25" s="66"/>
      <c r="D25" s="20"/>
      <c r="E25" s="67" t="s">
        <v>184</v>
      </c>
      <c r="F25" s="19">
        <v>60</v>
      </c>
      <c r="G25" s="19">
        <v>1</v>
      </c>
      <c r="H25" s="22"/>
      <c r="I25" s="23"/>
      <c r="J25" s="19">
        <v>2500</v>
      </c>
      <c r="K25" s="19">
        <f t="shared" si="2"/>
        <v>150000</v>
      </c>
      <c r="L25" s="26">
        <v>0</v>
      </c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>
        <v>1708</v>
      </c>
      <c r="AG25" s="28">
        <v>792</v>
      </c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</row>
    <row r="26" spans="1:68" ht="15.5" customHeight="1">
      <c r="A26" s="26" t="s">
        <v>138</v>
      </c>
      <c r="B26" s="20"/>
      <c r="C26" s="66"/>
      <c r="D26" s="20"/>
      <c r="E26" s="67" t="s">
        <v>140</v>
      </c>
      <c r="F26" s="19">
        <v>22</v>
      </c>
      <c r="G26" s="19">
        <v>4</v>
      </c>
      <c r="H26" s="22"/>
      <c r="I26" s="23"/>
      <c r="J26" s="19">
        <v>8000</v>
      </c>
      <c r="K26" s="19">
        <f t="shared" si="2"/>
        <v>704000</v>
      </c>
      <c r="L26" s="26">
        <v>0</v>
      </c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>
        <v>2010</v>
      </c>
      <c r="AH26" s="28">
        <v>2550</v>
      </c>
      <c r="AI26" s="28">
        <v>2550</v>
      </c>
      <c r="AJ26" s="28">
        <v>890</v>
      </c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</row>
    <row r="27" spans="1:68" ht="17" customHeight="1">
      <c r="A27" s="26" t="s">
        <v>161</v>
      </c>
      <c r="B27" s="20"/>
      <c r="C27" s="20"/>
      <c r="D27" s="19"/>
      <c r="E27" s="67" t="s">
        <v>163</v>
      </c>
      <c r="F27" s="19">
        <v>11</v>
      </c>
      <c r="G27" s="19">
        <v>10</v>
      </c>
      <c r="H27" s="22"/>
      <c r="I27" s="23"/>
      <c r="J27" s="19">
        <v>4000</v>
      </c>
      <c r="K27" s="19">
        <f t="shared" si="2"/>
        <v>440000</v>
      </c>
      <c r="L27" s="26">
        <v>0</v>
      </c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>
        <v>1328</v>
      </c>
      <c r="AK27" s="28">
        <v>2040</v>
      </c>
      <c r="AL27" s="28"/>
      <c r="AM27" s="28">
        <v>632</v>
      </c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</row>
    <row r="28" spans="1:68" ht="17.5" customHeight="1">
      <c r="A28" s="35" t="s">
        <v>185</v>
      </c>
      <c r="B28" s="35"/>
      <c r="C28" s="35" t="s">
        <v>43</v>
      </c>
      <c r="D28" s="35" t="s">
        <v>186</v>
      </c>
      <c r="E28" s="21" t="s">
        <v>187</v>
      </c>
      <c r="F28" s="19">
        <v>10</v>
      </c>
      <c r="G28" s="19">
        <v>8</v>
      </c>
      <c r="H28" s="36">
        <v>46114</v>
      </c>
      <c r="I28" s="23">
        <v>46157</v>
      </c>
      <c r="J28" s="19">
        <v>200</v>
      </c>
      <c r="K28" s="19">
        <f t="shared" si="2"/>
        <v>16000</v>
      </c>
      <c r="L28" s="19">
        <v>0</v>
      </c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>
        <v>200</v>
      </c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</row>
    <row r="29" spans="1:68" ht="17.5" customHeight="1">
      <c r="A29" s="35" t="s">
        <v>188</v>
      </c>
      <c r="B29" s="35"/>
      <c r="C29" s="35" t="s">
        <v>43</v>
      </c>
      <c r="D29" s="35" t="s">
        <v>189</v>
      </c>
      <c r="E29" s="21" t="s">
        <v>190</v>
      </c>
      <c r="F29" s="19">
        <v>10</v>
      </c>
      <c r="G29" s="19">
        <v>6</v>
      </c>
      <c r="H29" s="36">
        <v>46114</v>
      </c>
      <c r="I29" s="23">
        <v>46157</v>
      </c>
      <c r="J29" s="19">
        <v>2300</v>
      </c>
      <c r="K29" s="19">
        <f t="shared" si="2"/>
        <v>138000</v>
      </c>
      <c r="L29" s="19">
        <v>0</v>
      </c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>
        <v>2300</v>
      </c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</row>
    <row r="30" spans="1:68" ht="17.5" customHeight="1">
      <c r="A30" s="35" t="s">
        <v>191</v>
      </c>
      <c r="B30" s="35"/>
      <c r="C30" s="35" t="s">
        <v>43</v>
      </c>
      <c r="D30" s="35" t="s">
        <v>192</v>
      </c>
      <c r="E30" s="21" t="s">
        <v>193</v>
      </c>
      <c r="F30" s="19">
        <v>10</v>
      </c>
      <c r="G30" s="19">
        <v>10</v>
      </c>
      <c r="H30" s="36">
        <v>46114</v>
      </c>
      <c r="I30" s="23">
        <v>46167</v>
      </c>
      <c r="J30" s="19">
        <v>300</v>
      </c>
      <c r="K30" s="19">
        <f t="shared" si="2"/>
        <v>30000</v>
      </c>
      <c r="L30" s="19">
        <v>0</v>
      </c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>
        <v>9</v>
      </c>
      <c r="AN30" s="28">
        <v>291</v>
      </c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</row>
    <row r="31" spans="1:68" ht="17.5" customHeight="1">
      <c r="A31" s="35" t="s">
        <v>194</v>
      </c>
      <c r="B31" s="35"/>
      <c r="C31" s="35"/>
      <c r="D31" s="35"/>
      <c r="E31" s="21" t="s">
        <v>195</v>
      </c>
      <c r="F31" s="19">
        <v>8</v>
      </c>
      <c r="G31" s="19">
        <v>6</v>
      </c>
      <c r="H31" s="36"/>
      <c r="I31" s="23">
        <v>46188</v>
      </c>
      <c r="J31" s="19">
        <v>3000</v>
      </c>
      <c r="K31" s="19">
        <f t="shared" si="2"/>
        <v>144000</v>
      </c>
      <c r="L31" s="19">
        <v>0</v>
      </c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>
        <v>3000</v>
      </c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</row>
    <row r="32" spans="1:68" ht="17.5" customHeight="1">
      <c r="A32" s="37" t="s">
        <v>191</v>
      </c>
      <c r="B32" s="37"/>
      <c r="C32" s="37" t="s">
        <v>94</v>
      </c>
      <c r="D32" s="37"/>
      <c r="E32" s="38" t="s">
        <v>193</v>
      </c>
      <c r="F32" s="37">
        <v>10</v>
      </c>
      <c r="G32" s="37">
        <v>8</v>
      </c>
      <c r="H32" s="39">
        <v>46148</v>
      </c>
      <c r="I32" s="39">
        <v>46178</v>
      </c>
      <c r="J32" s="37">
        <v>400</v>
      </c>
      <c r="K32" s="37">
        <f t="shared" si="2"/>
        <v>32000</v>
      </c>
      <c r="L32" s="37">
        <v>0</v>
      </c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>
        <v>400</v>
      </c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</row>
    <row r="33" spans="1:68" ht="17.5" customHeight="1">
      <c r="A33" s="37" t="s">
        <v>188</v>
      </c>
      <c r="B33" s="37"/>
      <c r="C33" s="37" t="s">
        <v>94</v>
      </c>
      <c r="D33" s="37"/>
      <c r="E33" s="38" t="s">
        <v>190</v>
      </c>
      <c r="F33" s="37">
        <v>10</v>
      </c>
      <c r="G33" s="37">
        <v>6</v>
      </c>
      <c r="H33" s="39">
        <v>46148</v>
      </c>
      <c r="I33" s="39">
        <v>46188</v>
      </c>
      <c r="J33" s="37">
        <v>1500</v>
      </c>
      <c r="K33" s="37">
        <f t="shared" si="2"/>
        <v>90000</v>
      </c>
      <c r="L33" s="37">
        <v>0</v>
      </c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>
        <v>322</v>
      </c>
      <c r="AO33" s="28">
        <v>1178</v>
      </c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</row>
    <row r="34" spans="1:68" ht="18" customHeight="1">
      <c r="A34" s="37" t="s">
        <v>42</v>
      </c>
      <c r="B34" s="37"/>
      <c r="C34" s="37" t="s">
        <v>94</v>
      </c>
      <c r="D34" s="37"/>
      <c r="E34" s="38" t="s">
        <v>45</v>
      </c>
      <c r="F34" s="37">
        <v>10</v>
      </c>
      <c r="G34" s="37">
        <v>6</v>
      </c>
      <c r="H34" s="39">
        <v>46148</v>
      </c>
      <c r="I34" s="39">
        <v>46178</v>
      </c>
      <c r="J34" s="37">
        <v>1600</v>
      </c>
      <c r="K34" s="37">
        <f t="shared" si="2"/>
        <v>96000</v>
      </c>
      <c r="L34" s="37">
        <v>0</v>
      </c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>
        <v>1600</v>
      </c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</row>
    <row r="35" spans="1:68" ht="17.5" customHeight="1">
      <c r="A35" s="35" t="s">
        <v>145</v>
      </c>
      <c r="B35" s="35"/>
      <c r="C35" s="35" t="s">
        <v>43</v>
      </c>
      <c r="D35" s="35" t="s">
        <v>196</v>
      </c>
      <c r="E35" s="21" t="s">
        <v>148</v>
      </c>
      <c r="F35" s="19">
        <v>10</v>
      </c>
      <c r="G35" s="19">
        <v>6</v>
      </c>
      <c r="H35" s="36">
        <v>46114</v>
      </c>
      <c r="I35" s="23">
        <v>46178</v>
      </c>
      <c r="J35" s="19">
        <v>1500</v>
      </c>
      <c r="K35" s="19">
        <f t="shared" si="2"/>
        <v>90000</v>
      </c>
      <c r="L35" s="19">
        <v>0</v>
      </c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>
        <v>962</v>
      </c>
      <c r="AP35" s="28">
        <v>538</v>
      </c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</row>
    <row r="36" spans="1:68" ht="18" customHeight="1">
      <c r="A36" s="37" t="s">
        <v>150</v>
      </c>
      <c r="B36" s="37"/>
      <c r="C36" s="37" t="s">
        <v>94</v>
      </c>
      <c r="D36" s="37"/>
      <c r="E36" s="38" t="s">
        <v>152</v>
      </c>
      <c r="F36" s="37">
        <v>10</v>
      </c>
      <c r="G36" s="37">
        <v>6</v>
      </c>
      <c r="H36" s="39">
        <v>46148</v>
      </c>
      <c r="I36" s="39">
        <v>46178</v>
      </c>
      <c r="J36" s="37">
        <v>500</v>
      </c>
      <c r="K36" s="37">
        <f t="shared" si="2"/>
        <v>30000</v>
      </c>
      <c r="L36" s="37">
        <v>0</v>
      </c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>
        <v>500</v>
      </c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</row>
  </sheetData>
  <autoFilter ref="A5:BP35" xr:uid="{00000000-0009-0000-0000-000003000000}"/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O2" xr:uid="{00000000-0002-0000-0300-000000000000}">
      <formula1>"单,双"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P32"/>
  <sheetViews>
    <sheetView showGridLines="0" zoomScale="70" zoomScaleNormal="70" workbookViewId="0">
      <pane xSplit="12" ySplit="4" topLeftCell="M5" activePane="bottomRight" state="frozen"/>
      <selection pane="topRight"/>
      <selection pane="bottomLeft"/>
      <selection pane="bottomRight" activeCell="J6" sqref="J6:J8"/>
    </sheetView>
  </sheetViews>
  <sheetFormatPr baseColWidth="10" defaultColWidth="8.83203125" defaultRowHeight="17"/>
  <cols>
    <col min="1" max="1" width="11.83203125" style="53" customWidth="1"/>
    <col min="2" max="2" width="5.1640625" style="53" customWidth="1"/>
    <col min="3" max="3" width="23.83203125" style="53" customWidth="1"/>
    <col min="4" max="4" width="23.5" style="53" customWidth="1"/>
    <col min="5" max="5" width="56.5" style="54" customWidth="1"/>
    <col min="6" max="7" width="8.83203125" style="53" customWidth="1"/>
    <col min="8" max="8" width="13.5" style="53" customWidth="1"/>
    <col min="9" max="9" width="14.1640625" style="53" customWidth="1"/>
    <col min="10" max="10" width="11.83203125" style="53" customWidth="1"/>
    <col min="11" max="11" width="12.83203125" style="53" customWidth="1"/>
    <col min="12" max="12" width="11.1640625" style="53" customWidth="1"/>
    <col min="13" max="15" width="8.83203125" style="53" customWidth="1"/>
    <col min="16" max="16384" width="8.83203125" style="53"/>
  </cols>
  <sheetData>
    <row r="1" spans="1:68" s="1" customFormat="1" ht="16.25" customHeight="1">
      <c r="A1" s="99" t="s">
        <v>125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72000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130000</v>
      </c>
      <c r="K2" s="5" t="s">
        <v>137</v>
      </c>
      <c r="L2" s="7" t="e">
        <f>SUM(#REF!)</f>
        <v>#REF!</v>
      </c>
      <c r="M2" s="30" t="s">
        <v>197</v>
      </c>
      <c r="N2" s="30" t="s">
        <v>197</v>
      </c>
      <c r="O2" s="30" t="s">
        <v>197</v>
      </c>
      <c r="P2" s="30" t="s">
        <v>197</v>
      </c>
      <c r="Q2" s="30" t="s">
        <v>197</v>
      </c>
      <c r="R2" s="30" t="s">
        <v>197</v>
      </c>
      <c r="S2" s="30" t="s">
        <v>197</v>
      </c>
      <c r="T2" s="30" t="s">
        <v>197</v>
      </c>
      <c r="U2" s="30" t="s">
        <v>197</v>
      </c>
      <c r="V2" s="30" t="s">
        <v>197</v>
      </c>
      <c r="W2" s="30" t="s">
        <v>197</v>
      </c>
      <c r="X2" s="30" t="s">
        <v>197</v>
      </c>
      <c r="Y2" s="30" t="s">
        <v>197</v>
      </c>
      <c r="Z2" s="30" t="s">
        <v>197</v>
      </c>
      <c r="AA2" s="30" t="s">
        <v>197</v>
      </c>
      <c r="AB2" s="30" t="s">
        <v>197</v>
      </c>
      <c r="AC2" s="30" t="s">
        <v>197</v>
      </c>
      <c r="AD2" s="30" t="s">
        <v>197</v>
      </c>
      <c r="AE2" s="30" t="s">
        <v>197</v>
      </c>
      <c r="AF2" s="30" t="s">
        <v>197</v>
      </c>
      <c r="AG2" s="30" t="s">
        <v>197</v>
      </c>
      <c r="AH2" s="30" t="s">
        <v>197</v>
      </c>
      <c r="AI2" s="30" t="s">
        <v>197</v>
      </c>
      <c r="AJ2" s="30" t="s">
        <v>197</v>
      </c>
      <c r="AK2" s="30" t="s">
        <v>197</v>
      </c>
      <c r="AL2" s="30" t="s">
        <v>197</v>
      </c>
      <c r="AM2" s="30" t="s">
        <v>197</v>
      </c>
      <c r="AN2" s="30" t="s">
        <v>197</v>
      </c>
      <c r="AO2" s="30" t="s">
        <v>197</v>
      </c>
      <c r="AP2" s="30" t="s">
        <v>197</v>
      </c>
      <c r="AQ2" s="30" t="s">
        <v>197</v>
      </c>
      <c r="AR2" s="30" t="s">
        <v>197</v>
      </c>
      <c r="AS2" s="30" t="s">
        <v>197</v>
      </c>
      <c r="AT2" s="30" t="s">
        <v>197</v>
      </c>
      <c r="AU2" s="30" t="s">
        <v>197</v>
      </c>
      <c r="AV2" s="30" t="s">
        <v>197</v>
      </c>
      <c r="AW2" s="30" t="s">
        <v>197</v>
      </c>
      <c r="AX2" s="30" t="s">
        <v>197</v>
      </c>
      <c r="AY2" s="30" t="s">
        <v>197</v>
      </c>
      <c r="AZ2" s="30" t="s">
        <v>197</v>
      </c>
      <c r="BA2" s="30" t="s">
        <v>197</v>
      </c>
      <c r="BB2" s="30" t="s">
        <v>197</v>
      </c>
      <c r="BC2" s="30" t="s">
        <v>197</v>
      </c>
      <c r="BD2" s="30" t="s">
        <v>197</v>
      </c>
      <c r="BE2" s="30" t="s">
        <v>197</v>
      </c>
      <c r="BF2" s="30" t="s">
        <v>197</v>
      </c>
      <c r="BG2" s="30" t="s">
        <v>197</v>
      </c>
      <c r="BH2" s="30" t="s">
        <v>197</v>
      </c>
      <c r="BI2" s="30" t="s">
        <v>197</v>
      </c>
      <c r="BJ2" s="30" t="s">
        <v>197</v>
      </c>
      <c r="BK2" s="30" t="s">
        <v>197</v>
      </c>
      <c r="BL2" s="30" t="s">
        <v>197</v>
      </c>
      <c r="BM2" s="30" t="s">
        <v>197</v>
      </c>
      <c r="BN2" s="30" t="s">
        <v>197</v>
      </c>
      <c r="BO2" s="30" t="s">
        <v>197</v>
      </c>
      <c r="BP2" s="30" t="s">
        <v>197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MAX(0,SUM(IF(FREQUENCY(IF((M7:M32&gt;0)*($G7:$G32&lt;&gt;""),MATCH($G7:$G32,$G7:$G32,0)),ROW($G7:$G32)-ROW($G7)+1)&gt;0,1))-1)*IF(M2="双",VLOOKUP($A$1,换码设置!$A:$C,2,FALSE),IF(M2="单",VLOOKUP($A$1,换码设置!$A:$C,3,FALSE),0))</f>
        <v>#VALUE!</v>
      </c>
      <c r="N3" t="e">
        <f>MAX(0,SUM(IF(FREQUENCY(IF((N7:N32&gt;0)*($G7:$G32&lt;&gt;""),MATCH($G7:$G32,$G7:$G32,0)),ROW($G7:$G32)-ROW($G7)+1)&gt;0,1))-1)*IF(N2="双",VLOOKUP($A$1,换码设置!$A:$C,2,FALSE),IF(N2="单",VLOOKUP($A$1,换码设置!$A:$C,3,FALSE),0))</f>
        <v>#VALUE!</v>
      </c>
      <c r="O3" t="e">
        <f>MAX(0,SUM(IF(FREQUENCY(IF((O7:O32&gt;0)*($G7:$G32&lt;&gt;""),MATCH($G7:$G32,$G7:$G32,0)),ROW($G7:$G32)-ROW($G7)+1)&gt;0,1))-1)*IF(O2="双",VLOOKUP($A$1,换码设置!$A:$C,2,FALSE),IF(O2="单",VLOOKUP($A$1,换码设置!$A:$C,3,FALSE),0))</f>
        <v>#VALUE!</v>
      </c>
      <c r="P3" t="e">
        <f>MAX(0,SUM(IF(FREQUENCY(IF((P7:P32&gt;0)*($G7:$G32&lt;&gt;""),MATCH($G7:$G32,$G7:$G32,0)),ROW($G7:$G32)-ROW($G7)+1)&gt;0,1))-1)*IF(P2="双",VLOOKUP($A$1,换码设置!$A:$C,2,FALSE),IF(P2="单",VLOOKUP($A$1,换码设置!$A:$C,3,FALSE),0))</f>
        <v>#VALUE!</v>
      </c>
      <c r="Q3" t="e">
        <f>MAX(0,SUM(IF(FREQUENCY(IF((Q7:Q32&gt;0)*($G7:$G32&lt;&gt;""),MATCH($G7:$G32,$G7:$G32,0)),ROW($G7:$G32)-ROW($G7)+1)&gt;0,1))-1)*IF(Q2="双",VLOOKUP($A$1,换码设置!$A:$C,2,FALSE),IF(Q2="单",VLOOKUP($A$1,换码设置!$A:$C,3,FALSE),0))</f>
        <v>#VALUE!</v>
      </c>
      <c r="R3" t="e">
        <f>MAX(0,SUM(IF(FREQUENCY(IF((R7:R32&gt;0)*($G7:$G32&lt;&gt;""),MATCH($G7:$G32,$G7:$G32,0)),ROW($G7:$G32)-ROW($G7)+1)&gt;0,1))-1)*IF(R2="双",VLOOKUP($A$1,换码设置!$A:$C,2,FALSE),IF(R2="单",VLOOKUP($A$1,换码设置!$A:$C,3,FALSE),0))</f>
        <v>#VALUE!</v>
      </c>
      <c r="S3" t="e">
        <f>MAX(0,SUM(IF(FREQUENCY(IF((S7:S32&gt;0)*($G7:$G32&lt;&gt;""),MATCH($G7:$G32,$G7:$G32,0)),ROW($G7:$G32)-ROW($G7)+1)&gt;0,1))-1)*IF(S2="双",VLOOKUP($A$1,换码设置!$A:$C,2,FALSE),IF(S2="单",VLOOKUP($A$1,换码设置!$A:$C,3,FALSE),0))</f>
        <v>#VALUE!</v>
      </c>
      <c r="T3" t="e">
        <f>MAX(0,SUM(IF(FREQUENCY(IF((T7:T32&gt;0)*($G7:$G32&lt;&gt;""),MATCH($G7:$G32,$G7:$G32,0)),ROW($G7:$G32)-ROW($G7)+1)&gt;0,1))-1)*IF(T2="双",VLOOKUP($A$1,换码设置!$A:$C,2,FALSE),IF(T2="单",VLOOKUP($A$1,换码设置!$A:$C,3,FALSE),0))</f>
        <v>#VALUE!</v>
      </c>
      <c r="U3" t="e">
        <f>MAX(0,SUM(IF(FREQUENCY(IF((U7:U32&gt;0)*($G7:$G32&lt;&gt;""),MATCH($G7:$G32,$G7:$G32,0)),ROW($G7:$G32)-ROW($G7)+1)&gt;0,1))-1)*IF(U2="双",VLOOKUP($A$1,换码设置!$A:$C,2,FALSE),IF(U2="单",VLOOKUP($A$1,换码设置!$A:$C,3,FALSE),0))</f>
        <v>#VALUE!</v>
      </c>
      <c r="V3" t="e">
        <f>MAX(0,SUM(IF(FREQUENCY(IF((V7:V32&gt;0)*($G7:$G32&lt;&gt;""),MATCH($G7:$G32,$G7:$G32,0)),ROW($G7:$G32)-ROW($G7)+1)&gt;0,1))-1)*IF(V2="双",VLOOKUP($A$1,换码设置!$A:$C,2,FALSE),IF(V2="单",VLOOKUP($A$1,换码设置!$A:$C,3,FALSE),0))</f>
        <v>#VALUE!</v>
      </c>
      <c r="W3" t="e">
        <f>MAX(0,SUM(IF(FREQUENCY(IF((W7:W32&gt;0)*($G7:$G32&lt;&gt;""),MATCH($G7:$G32,$G7:$G32,0)),ROW($G7:$G32)-ROW($G7)+1)&gt;0,1))-1)*IF(W2="双",VLOOKUP($A$1,换码设置!$A:$C,2,FALSE),IF(W2="单",VLOOKUP($A$1,换码设置!$A:$C,3,FALSE),0))</f>
        <v>#VALUE!</v>
      </c>
      <c r="X3" t="e">
        <f>MAX(0,SUM(IF(FREQUENCY(IF((X7:X32&gt;0)*($G7:$G32&lt;&gt;""),MATCH($G7:$G32,$G7:$G32,0)),ROW($G7:$G32)-ROW($G7)+1)&gt;0,1))-1)*IF(X2="双",VLOOKUP($A$1,换码设置!$A:$C,2,FALSE),IF(X2="单",VLOOKUP($A$1,换码设置!$A:$C,3,FALSE),0))</f>
        <v>#VALUE!</v>
      </c>
      <c r="Y3" t="e">
        <f>MAX(0,SUM(IF(FREQUENCY(IF((Y7:Y32&gt;0)*($G7:$G32&lt;&gt;""),MATCH($G7:$G32,$G7:$G32,0)),ROW($G7:$G32)-ROW($G7)+1)&gt;0,1))-1)*IF(Y2="双",VLOOKUP($A$1,换码设置!$A:$C,2,FALSE),IF(Y2="单",VLOOKUP($A$1,换码设置!$A:$C,3,FALSE),0))</f>
        <v>#VALUE!</v>
      </c>
      <c r="Z3" t="e">
        <f>MAX(0,SUM(IF(FREQUENCY(IF((Z7:Z32&gt;0)*($G7:$G32&lt;&gt;""),MATCH($G7:$G32,$G7:$G32,0)),ROW($G7:$G32)-ROW($G7)+1)&gt;0,1))-1)*IF(Z2="双",VLOOKUP($A$1,换码设置!$A:$C,2,FALSE),IF(Z2="单",VLOOKUP($A$1,换码设置!$A:$C,3,FALSE),0))</f>
        <v>#VALUE!</v>
      </c>
      <c r="AA3" t="e">
        <f>MAX(0,SUM(IF(FREQUENCY(IF((AA7:AA32&gt;0)*($G7:$G32&lt;&gt;""),MATCH($G7:$G32,$G7:$G32,0)),ROW($G7:$G32)-ROW($G7)+1)&gt;0,1))-1)*IF(AA2="双",VLOOKUP($A$1,换码设置!$A:$C,2,FALSE),IF(AA2="单",VLOOKUP($A$1,换码设置!$A:$C,3,FALSE),0))</f>
        <v>#VALUE!</v>
      </c>
      <c r="AB3" t="e">
        <f>MAX(0,SUM(IF(FREQUENCY(IF((AB7:AB32&gt;0)*($G7:$G32&lt;&gt;""),MATCH($G7:$G32,$G7:$G32,0)),ROW($G7:$G32)-ROW($G7)+1)&gt;0,1))-1)*IF(AB2="双",VLOOKUP($A$1,换码设置!$A:$C,2,FALSE),IF(AB2="单",VLOOKUP($A$1,换码设置!$A:$C,3,FALSE),0))</f>
        <v>#VALUE!</v>
      </c>
      <c r="AC3" t="e">
        <f>MAX(0,SUM(IF(FREQUENCY(IF((AC7:AC32&gt;0)*($G7:$G32&lt;&gt;""),MATCH($G7:$G32,$G7:$G32,0)),ROW($G7:$G32)-ROW($G7)+1)&gt;0,1))-1)*IF(AC2="双",VLOOKUP($A$1,换码设置!$A:$C,2,FALSE),IF(AC2="单",VLOOKUP($A$1,换码设置!$A:$C,3,FALSE),0))</f>
        <v>#VALUE!</v>
      </c>
      <c r="AD3" t="e">
        <f>MAX(0,SUM(IF(FREQUENCY(IF((AD7:AD32&gt;0)*($G7:$G32&lt;&gt;""),MATCH($G7:$G32,$G7:$G32,0)),ROW($G7:$G32)-ROW($G7)+1)&gt;0,1))-1)*IF(AD2="双",VLOOKUP($A$1,换码设置!$A:$C,2,FALSE),IF(AD2="单",VLOOKUP($A$1,换码设置!$A:$C,3,FALSE),0))</f>
        <v>#VALUE!</v>
      </c>
      <c r="AE3" t="e">
        <f>MAX(0,SUM(IF(FREQUENCY(IF((AE7:AE32&gt;0)*($G7:$G32&lt;&gt;""),MATCH($G7:$G32,$G7:$G32,0)),ROW($G7:$G32)-ROW($G7)+1)&gt;0,1))-1)*IF(AE2="双",VLOOKUP($A$1,换码设置!$A:$C,2,FALSE),IF(AE2="单",VLOOKUP($A$1,换码设置!$A:$C,3,FALSE),0))</f>
        <v>#VALUE!</v>
      </c>
      <c r="AF3" t="e">
        <f>MAX(0,SUM(IF(FREQUENCY(IF((AF7:AF32&gt;0)*($G7:$G32&lt;&gt;""),MATCH($G7:$G32,$G7:$G32,0)),ROW($G7:$G32)-ROW($G7)+1)&gt;0,1))-1)*IF(AF2="双",VLOOKUP($A$1,换码设置!$A:$C,2,FALSE),IF(AF2="单",VLOOKUP($A$1,换码设置!$A:$C,3,FALSE),0))</f>
        <v>#VALUE!</v>
      </c>
      <c r="AG3" t="e">
        <f>MAX(0,SUM(IF(FREQUENCY(IF((AG7:AG32&gt;0)*($G7:$G32&lt;&gt;""),MATCH($G7:$G32,$G7:$G32,0)),ROW($G7:$G32)-ROW($G7)+1)&gt;0,1))-1)*IF(AG2="双",VLOOKUP($A$1,换码设置!$A:$C,2,FALSE),IF(AG2="单",VLOOKUP($A$1,换码设置!$A:$C,3,FALSE),0))</f>
        <v>#VALUE!</v>
      </c>
      <c r="AH3" t="e">
        <f>MAX(0,SUM(IF(FREQUENCY(IF((AH7:AH32&gt;0)*($G7:$G32&lt;&gt;""),MATCH($G7:$G32,$G7:$G32,0)),ROW($G7:$G32)-ROW($G7)+1)&gt;0,1))-1)*IF(AH2="双",VLOOKUP($A$1,换码设置!$A:$C,2,FALSE),IF(AH2="单",VLOOKUP($A$1,换码设置!$A:$C,3,FALSE),0))</f>
        <v>#VALUE!</v>
      </c>
      <c r="AI3" t="e">
        <f>MAX(0,SUM(IF(FREQUENCY(IF((AI7:AI32&gt;0)*($G7:$G32&lt;&gt;""),MATCH($G7:$G32,$G7:$G32,0)),ROW($G7:$G32)-ROW($G7)+1)&gt;0,1))-1)*IF(AI2="双",VLOOKUP($A$1,换码设置!$A:$C,2,FALSE),IF(AI2="单",VLOOKUP($A$1,换码设置!$A:$C,3,FALSE),0))</f>
        <v>#VALUE!</v>
      </c>
      <c r="AJ3" t="e">
        <f>MAX(0,SUM(IF(FREQUENCY(IF((AJ7:AJ32&gt;0)*($G7:$G32&lt;&gt;""),MATCH($G7:$G32,$G7:$G32,0)),ROW($G7:$G32)-ROW($G7)+1)&gt;0,1))-1)*IF(AJ2="双",VLOOKUP($A$1,换码设置!$A:$C,2,FALSE),IF(AJ2="单",VLOOKUP($A$1,换码设置!$A:$C,3,FALSE),0))</f>
        <v>#VALUE!</v>
      </c>
      <c r="AK3" t="e">
        <f>MAX(0,SUM(IF(FREQUENCY(IF((AK7:AK32&gt;0)*($G7:$G32&lt;&gt;""),MATCH($G7:$G32,$G7:$G32,0)),ROW($G7:$G32)-ROW($G7)+1)&gt;0,1))-1)*IF(AK2="双",VLOOKUP($A$1,换码设置!$A:$C,2,FALSE),IF(AK2="单",VLOOKUP($A$1,换码设置!$A:$C,3,FALSE),0))</f>
        <v>#VALUE!</v>
      </c>
      <c r="AL3" t="e">
        <f>MAX(0,SUM(IF(FREQUENCY(IF((AL7:AL32&gt;0)*($G7:$G32&lt;&gt;""),MATCH($G7:$G32,$G7:$G32,0)),ROW($G7:$G32)-ROW($G7)+1)&gt;0,1))-1)*IF(AL2="双",VLOOKUP($A$1,换码设置!$A:$C,2,FALSE),IF(AL2="单",VLOOKUP($A$1,换码设置!$A:$C,3,FALSE),0))</f>
        <v>#VALUE!</v>
      </c>
      <c r="AM3" t="e">
        <f>MAX(0,SUM(IF(FREQUENCY(IF((AM7:AM32&gt;0)*($G7:$G32&lt;&gt;""),MATCH($G7:$G32,$G7:$G32,0)),ROW($G7:$G32)-ROW($G7)+1)&gt;0,1))-1)*IF(AM2="双",VLOOKUP($A$1,换码设置!$A:$C,2,FALSE),IF(AM2="单",VLOOKUP($A$1,换码设置!$A:$C,3,FALSE),0))</f>
        <v>#VALUE!</v>
      </c>
      <c r="AN3" t="e">
        <f>MAX(0,SUM(IF(FREQUENCY(IF((AN7:AN32&gt;0)*($G7:$G32&lt;&gt;""),MATCH($G7:$G32,$G7:$G32,0)),ROW($G7:$G32)-ROW($G7)+1)&gt;0,1))-1)*IF(AN2="双",VLOOKUP($A$1,换码设置!$A:$C,2,FALSE),IF(AN2="单",VLOOKUP($A$1,换码设置!$A:$C,3,FALSE),0))</f>
        <v>#VALUE!</v>
      </c>
      <c r="AO3" t="e">
        <f>MAX(0,SUM(IF(FREQUENCY(IF((AO7:AO32&gt;0)*($G7:$G32&lt;&gt;""),MATCH($G7:$G32,$G7:$G32,0)),ROW($G7:$G32)-ROW($G7)+1)&gt;0,1))-1)*IF(AO2="双",VLOOKUP($A$1,换码设置!$A:$C,2,FALSE),IF(AO2="单",VLOOKUP($A$1,换码设置!$A:$C,3,FALSE),0))</f>
        <v>#VALUE!</v>
      </c>
      <c r="AP3" t="e">
        <f>MAX(0,SUM(IF(FREQUENCY(IF((AP7:AP32&gt;0)*($G7:$G32&lt;&gt;""),MATCH($G7:$G32,$G7:$G32,0)),ROW($G7:$G32)-ROW($G7)+1)&gt;0,1))-1)*IF(AP2="双",VLOOKUP($A$1,换码设置!$A:$C,2,FALSE),IF(AP2="单",VLOOKUP($A$1,换码设置!$A:$C,3,FALSE),0))</f>
        <v>#VALUE!</v>
      </c>
      <c r="AQ3" t="e">
        <f>MAX(0,SUM(IF(FREQUENCY(IF((AQ7:AQ32&gt;0)*($G7:$G32&lt;&gt;""),MATCH($G7:$G32,$G7:$G32,0)),ROW($G7:$G32)-ROW($G7)+1)&gt;0,1))-1)*IF(AQ2="双",VLOOKUP($A$1,换码设置!$A:$C,2,FALSE),IF(AQ2="单",VLOOKUP($A$1,换码设置!$A:$C,3,FALSE),0))</f>
        <v>#VALUE!</v>
      </c>
      <c r="AR3" t="e">
        <f>MAX(0,SUM(IF(FREQUENCY(IF((AR7:AR32&gt;0)*($G7:$G32&lt;&gt;""),MATCH($G7:$G32,$G7:$G32,0)),ROW($G7:$G32)-ROW($G7)+1)&gt;0,1))-1)*IF(AR2="双",VLOOKUP($A$1,换码设置!$A:$C,2,FALSE),IF(AR2="单",VLOOKUP($A$1,换码设置!$A:$C,3,FALSE),0))</f>
        <v>#VALUE!</v>
      </c>
      <c r="AS3" t="e">
        <f>MAX(0,SUM(IF(FREQUENCY(IF((AS7:AS32&gt;0)*($G7:$G32&lt;&gt;""),MATCH($G7:$G32,$G7:$G32,0)),ROW($G7:$G32)-ROW($G7)+1)&gt;0,1))-1)*IF(AS2="双",VLOOKUP($A$1,换码设置!$A:$C,2,FALSE),IF(AS2="单",VLOOKUP($A$1,换码设置!$A:$C,3,FALSE),0))</f>
        <v>#VALUE!</v>
      </c>
      <c r="AT3" t="e">
        <f>MAX(0,SUM(IF(FREQUENCY(IF((AT7:AT32&gt;0)*($G7:$G32&lt;&gt;""),MATCH($G7:$G32,$G7:$G32,0)),ROW($G7:$G32)-ROW($G7)+1)&gt;0,1))-1)*IF(AT2="双",VLOOKUP($A$1,换码设置!$A:$C,2,FALSE),IF(AT2="单",VLOOKUP($A$1,换码设置!$A:$C,3,FALSE),0))</f>
        <v>#VALUE!</v>
      </c>
      <c r="AU3" t="e">
        <f>MAX(0,SUM(IF(FREQUENCY(IF((AU7:AU32&gt;0)*($G7:$G32&lt;&gt;""),MATCH($G7:$G32,$G7:$G32,0)),ROW($G7:$G32)-ROW($G7)+1)&gt;0,1))-1)*IF(AU2="双",VLOOKUP($A$1,换码设置!$A:$C,2,FALSE),IF(AU2="单",VLOOKUP($A$1,换码设置!$A:$C,3,FALSE),0))</f>
        <v>#VALUE!</v>
      </c>
      <c r="AV3" t="e">
        <f>MAX(0,SUM(IF(FREQUENCY(IF((AV7:AV32&gt;0)*($G7:$G32&lt;&gt;""),MATCH($G7:$G32,$G7:$G32,0)),ROW($G7:$G32)-ROW($G7)+1)&gt;0,1))-1)*IF(AV2="双",VLOOKUP($A$1,换码设置!$A:$C,2,FALSE),IF(AV2="单",VLOOKUP($A$1,换码设置!$A:$C,3,FALSE),0))</f>
        <v>#VALUE!</v>
      </c>
      <c r="AW3" t="e">
        <f>MAX(0,SUM(IF(FREQUENCY(IF((AW7:AW32&gt;0)*($G7:$G32&lt;&gt;""),MATCH($G7:$G32,$G7:$G32,0)),ROW($G7:$G32)-ROW($G7)+1)&gt;0,1))-1)*IF(AW2="双",VLOOKUP($A$1,换码设置!$A:$C,2,FALSE),IF(AW2="单",VLOOKUP($A$1,换码设置!$A:$C,3,FALSE),0))</f>
        <v>#VALUE!</v>
      </c>
      <c r="AX3" t="e">
        <f>MAX(0,SUM(IF(FREQUENCY(IF((AX7:AX32&gt;0)*($G7:$G32&lt;&gt;""),MATCH($G7:$G32,$G7:$G32,0)),ROW($G7:$G32)-ROW($G7)+1)&gt;0,1))-1)*IF(AX2="双",VLOOKUP($A$1,换码设置!$A:$C,2,FALSE),IF(AX2="单",VLOOKUP($A$1,换码设置!$A:$C,3,FALSE),0))</f>
        <v>#VALUE!</v>
      </c>
      <c r="AY3" t="e">
        <f>MAX(0,SUM(IF(FREQUENCY(IF((AY7:AY32&gt;0)*($G7:$G32&lt;&gt;""),MATCH($G7:$G32,$G7:$G32,0)),ROW($G7:$G32)-ROW($G7)+1)&gt;0,1))-1)*IF(AY2="双",VLOOKUP($A$1,换码设置!$A:$C,2,FALSE),IF(AY2="单",VLOOKUP($A$1,换码设置!$A:$C,3,FALSE),0))</f>
        <v>#VALUE!</v>
      </c>
      <c r="AZ3" t="e">
        <f>MAX(0,SUM(IF(FREQUENCY(IF((AZ7:AZ32&gt;0)*($G7:$G32&lt;&gt;""),MATCH($G7:$G32,$G7:$G32,0)),ROW($G7:$G32)-ROW($G7)+1)&gt;0,1))-1)*IF(AZ2="双",VLOOKUP($A$1,换码设置!$A:$C,2,FALSE),IF(AZ2="单",VLOOKUP($A$1,换码设置!$A:$C,3,FALSE),0))</f>
        <v>#VALUE!</v>
      </c>
      <c r="BA3" t="e">
        <f>MAX(0,SUM(IF(FREQUENCY(IF((BA7:BA32&gt;0)*($G7:$G32&lt;&gt;""),MATCH($G7:$G32,$G7:$G32,0)),ROW($G7:$G32)-ROW($G7)+1)&gt;0,1))-1)*IF(BA2="双",VLOOKUP($A$1,换码设置!$A:$C,2,FALSE),IF(BA2="单",VLOOKUP($A$1,换码设置!$A:$C,3,FALSE),0))</f>
        <v>#VALUE!</v>
      </c>
      <c r="BB3" t="e">
        <f>MAX(0,SUM(IF(FREQUENCY(IF((BB7:BB32&gt;0)*($G7:$G32&lt;&gt;""),MATCH($G7:$G32,$G7:$G32,0)),ROW($G7:$G32)-ROW($G7)+1)&gt;0,1))-1)*IF(BB2="双",VLOOKUP($A$1,换码设置!$A:$C,2,FALSE),IF(BB2="单",VLOOKUP($A$1,换码设置!$A:$C,3,FALSE),0))</f>
        <v>#VALUE!</v>
      </c>
      <c r="BC3" t="e">
        <f>MAX(0,SUM(IF(FREQUENCY(IF((BC7:BC32&gt;0)*($G7:$G32&lt;&gt;""),MATCH($G7:$G32,$G7:$G32,0)),ROW($G7:$G32)-ROW($G7)+1)&gt;0,1))-1)*IF(BC2="双",VLOOKUP($A$1,换码设置!$A:$C,2,FALSE),IF(BC2="单",VLOOKUP($A$1,换码设置!$A:$C,3,FALSE),0))</f>
        <v>#VALUE!</v>
      </c>
      <c r="BD3" t="e">
        <f>MAX(0,SUM(IF(FREQUENCY(IF((BD7:BD32&gt;0)*($G7:$G32&lt;&gt;""),MATCH($G7:$G32,$G7:$G32,0)),ROW($G7:$G32)-ROW($G7)+1)&gt;0,1))-1)*IF(BD2="双",VLOOKUP($A$1,换码设置!$A:$C,2,FALSE),IF(BD2="单",VLOOKUP($A$1,换码设置!$A:$C,3,FALSE),0))</f>
        <v>#VALUE!</v>
      </c>
      <c r="BE3" t="e">
        <f>MAX(0,SUM(IF(FREQUENCY(IF((BE7:BE32&gt;0)*($G7:$G32&lt;&gt;""),MATCH($G7:$G32,$G7:$G32,0)),ROW($G7:$G32)-ROW($G7)+1)&gt;0,1))-1)*IF(BE2="双",VLOOKUP($A$1,换码设置!$A:$C,2,FALSE),IF(BE2="单",VLOOKUP($A$1,换码设置!$A:$C,3,FALSE),0))</f>
        <v>#VALUE!</v>
      </c>
      <c r="BF3" t="e">
        <f>MAX(0,SUM(IF(FREQUENCY(IF((BF7:BF32&gt;0)*($G7:$G32&lt;&gt;""),MATCH($G7:$G32,$G7:$G32,0)),ROW($G7:$G32)-ROW($G7)+1)&gt;0,1))-1)*IF(BF2="双",VLOOKUP($A$1,换码设置!$A:$C,2,FALSE),IF(BF2="单",VLOOKUP($A$1,换码设置!$A:$C,3,FALSE),0))</f>
        <v>#VALUE!</v>
      </c>
      <c r="BG3" t="e">
        <f>MAX(0,SUM(IF(FREQUENCY(IF((BG7:BG32&gt;0)*($G7:$G32&lt;&gt;""),MATCH($G7:$G32,$G7:$G32,0)),ROW($G7:$G32)-ROW($G7)+1)&gt;0,1))-1)*IF(BG2="双",VLOOKUP($A$1,换码设置!$A:$C,2,FALSE),IF(BG2="单",VLOOKUP($A$1,换码设置!$A:$C,3,FALSE),0))</f>
        <v>#VALUE!</v>
      </c>
      <c r="BH3" t="e">
        <f>MAX(0,SUM(IF(FREQUENCY(IF((BH7:BH32&gt;0)*($G7:$G32&lt;&gt;""),MATCH($G7:$G32,$G7:$G32,0)),ROW($G7:$G32)-ROW($G7)+1)&gt;0,1))-1)*IF(BH2="双",VLOOKUP($A$1,换码设置!$A:$C,2,FALSE),IF(BH2="单",VLOOKUP($A$1,换码设置!$A:$C,3,FALSE),0))</f>
        <v>#VALUE!</v>
      </c>
      <c r="BI3" t="e">
        <f>MAX(0,SUM(IF(FREQUENCY(IF((BI7:BI32&gt;0)*($G7:$G32&lt;&gt;""),MATCH($G7:$G32,$G7:$G32,0)),ROW($G7:$G32)-ROW($G7)+1)&gt;0,1))-1)*IF(BI2="双",VLOOKUP($A$1,换码设置!$A:$C,2,FALSE),IF(BI2="单",VLOOKUP($A$1,换码设置!$A:$C,3,FALSE),0))</f>
        <v>#VALUE!</v>
      </c>
      <c r="BJ3" t="e">
        <f>MAX(0,SUM(IF(FREQUENCY(IF((BJ7:BJ32&gt;0)*($G7:$G32&lt;&gt;""),MATCH($G7:$G32,$G7:$G32,0)),ROW($G7:$G32)-ROW($G7)+1)&gt;0,1))-1)*IF(BJ2="双",VLOOKUP($A$1,换码设置!$A:$C,2,FALSE),IF(BJ2="单",VLOOKUP($A$1,换码设置!$A:$C,3,FALSE),0))</f>
        <v>#VALUE!</v>
      </c>
      <c r="BK3" t="e">
        <f>MAX(0,SUM(IF(FREQUENCY(IF((BK7:BK32&gt;0)*($G7:$G32&lt;&gt;""),MATCH($G7:$G32,$G7:$G32,0)),ROW($G7:$G32)-ROW($G7)+1)&gt;0,1))-1)*IF(BK2="双",VLOOKUP($A$1,换码设置!$A:$C,2,FALSE),IF(BK2="单",VLOOKUP($A$1,换码设置!$A:$C,3,FALSE),0))</f>
        <v>#VALUE!</v>
      </c>
      <c r="BL3" t="e">
        <f>MAX(0,SUM(IF(FREQUENCY(IF((BL7:BL32&gt;0)*($G7:$G32&lt;&gt;""),MATCH($G7:$G32,$G7:$G32,0)),ROW($G7:$G32)-ROW($G7)+1)&gt;0,1))-1)*IF(BL2="双",VLOOKUP($A$1,换码设置!$A:$C,2,FALSE),IF(BL2="单",VLOOKUP($A$1,换码设置!$A:$C,3,FALSE),0))</f>
        <v>#VALUE!</v>
      </c>
      <c r="BM3" t="e">
        <f>MAX(0,SUM(IF(FREQUENCY(IF((BM7:BM32&gt;0)*($G7:$G32&lt;&gt;""),MATCH($G7:$G32,$G7:$G32,0)),ROW($G7:$G32)-ROW($G7)+1)&gt;0,1))-1)*IF(BM2="双",VLOOKUP($A$1,换码设置!$A:$C,2,FALSE),IF(BM2="单",VLOOKUP($A$1,换码设置!$A:$C,3,FALSE),0))</f>
        <v>#VALUE!</v>
      </c>
      <c r="BN3" t="e">
        <f>MAX(0,SUM(IF(FREQUENCY(IF((BN7:BN32&gt;0)*($G7:$G32&lt;&gt;""),MATCH($G7:$G32,$G7:$G32,0)),ROW($G7:$G32)-ROW($G7)+1)&gt;0,1))-1)*IF(BN2="双",VLOOKUP($A$1,换码设置!$A:$C,2,FALSE),IF(BN2="单",VLOOKUP($A$1,换码设置!$A:$C,3,FALSE),0))</f>
        <v>#VALUE!</v>
      </c>
      <c r="BO3" t="e">
        <f>MAX(0,SUM(IF(FREQUENCY(IF((BO7:BO32&gt;0)*($G7:$G32&lt;&gt;""),MATCH($G7:$G32,$G7:$G32,0)),ROW($G7:$G32)-ROW($G7)+1)&gt;0,1))-1)*IF(BO2="双",VLOOKUP($A$1,换码设置!$A:$C,2,FALSE),IF(BO2="单",VLOOKUP($A$1,换码设置!$A:$C,3,FALSE),0))</f>
        <v>#VALUE!</v>
      </c>
      <c r="BP3" t="e">
        <f>MAX(0,SUM(IF(FREQUENCY(IF((BP7:BP32&gt;0)*($G7:$G32&lt;&gt;""),MATCH($G7:$G32,$G7:$G32,0)),ROW($G7:$G32)-ROW($G7)+1)&gt;0,1))-1)*IF(BP2="双",VLOOKUP($A$1,换码设置!$A:$C,2,FALSE),IF(BP2="单",VLOOKUP($A$1,换码设置!$A:$C,3,FALSE),0))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30">
        <v>46148</v>
      </c>
      <c r="N4" s="30">
        <v>46149</v>
      </c>
      <c r="O4" s="30">
        <v>46150</v>
      </c>
      <c r="P4" s="30">
        <v>46151</v>
      </c>
      <c r="Q4" s="30">
        <v>46152</v>
      </c>
      <c r="R4" s="30">
        <v>46153</v>
      </c>
      <c r="S4" s="30">
        <v>46154</v>
      </c>
      <c r="T4" s="30">
        <v>46155</v>
      </c>
      <c r="U4" s="30">
        <v>46156</v>
      </c>
      <c r="V4" s="30">
        <v>46157</v>
      </c>
      <c r="W4" s="30">
        <v>46158</v>
      </c>
      <c r="X4" s="30">
        <v>46159</v>
      </c>
      <c r="Y4" s="30">
        <v>46160</v>
      </c>
      <c r="Z4" s="30">
        <v>46161</v>
      </c>
      <c r="AA4" s="30">
        <v>46162</v>
      </c>
      <c r="AB4" s="30">
        <v>46163</v>
      </c>
      <c r="AC4" s="30">
        <v>46164</v>
      </c>
      <c r="AD4" s="30">
        <v>46165</v>
      </c>
      <c r="AE4" s="30">
        <v>46166</v>
      </c>
      <c r="AF4" s="30">
        <v>46167</v>
      </c>
      <c r="AG4" s="30">
        <v>46168</v>
      </c>
      <c r="AH4" s="30">
        <v>46169</v>
      </c>
      <c r="AI4" s="30">
        <v>46170</v>
      </c>
      <c r="AJ4" s="30">
        <v>46171</v>
      </c>
      <c r="AK4" s="30">
        <v>46172</v>
      </c>
      <c r="AL4" s="30">
        <v>46173</v>
      </c>
      <c r="AM4" s="30">
        <v>46174</v>
      </c>
      <c r="AN4" s="30">
        <v>46175</v>
      </c>
      <c r="AO4" s="30">
        <v>46176</v>
      </c>
      <c r="AP4" s="30">
        <v>46177</v>
      </c>
      <c r="AQ4" s="30">
        <v>46178</v>
      </c>
      <c r="AR4" s="30">
        <v>46179</v>
      </c>
      <c r="AS4" s="30">
        <v>46180</v>
      </c>
      <c r="AT4" s="30">
        <v>46181</v>
      </c>
      <c r="AU4" s="30">
        <v>46182</v>
      </c>
      <c r="AV4" s="30">
        <v>46183</v>
      </c>
      <c r="AW4" s="30">
        <v>46184</v>
      </c>
      <c r="AX4" s="30">
        <v>46185</v>
      </c>
      <c r="AY4" s="30">
        <v>46186</v>
      </c>
      <c r="AZ4" s="30">
        <v>46187</v>
      </c>
      <c r="BA4" s="30">
        <v>46188</v>
      </c>
      <c r="BB4" s="30">
        <v>46189</v>
      </c>
      <c r="BC4" s="30">
        <v>46190</v>
      </c>
      <c r="BD4" s="30">
        <v>46191</v>
      </c>
      <c r="BE4" s="30">
        <v>46192</v>
      </c>
      <c r="BF4" s="30">
        <v>46193</v>
      </c>
      <c r="BG4" s="30">
        <v>46194</v>
      </c>
      <c r="BH4" s="30">
        <v>46195</v>
      </c>
      <c r="BI4" s="30">
        <v>46196</v>
      </c>
      <c r="BJ4" s="30">
        <v>46197</v>
      </c>
      <c r="BK4" s="30">
        <v>46198</v>
      </c>
      <c r="BL4" s="30">
        <v>46199</v>
      </c>
      <c r="BM4" s="30">
        <v>46200</v>
      </c>
      <c r="BN4" s="30">
        <v>46201</v>
      </c>
      <c r="BO4" s="30">
        <v>46202</v>
      </c>
      <c r="BP4" s="30">
        <v>46203</v>
      </c>
    </row>
    <row r="5" spans="1:68" s="1" customFormat="1">
      <c r="F5" s="100"/>
      <c r="G5" s="100"/>
      <c r="I5" s="95"/>
      <c r="J5" s="96"/>
      <c r="K5" s="5" t="s">
        <v>7</v>
      </c>
      <c r="L5" s="9" t="e">
        <f>SUM(L1:L3)</f>
        <v>#REF!</v>
      </c>
      <c r="M5" s="15" t="e">
        <f t="shared" ref="M5:AR5" si="0">IF(M2="单",$J$1,IF(M2="双",$J$2,0))-M3-M6</f>
        <v>#VALUE!</v>
      </c>
      <c r="N5" s="15" t="e">
        <f t="shared" si="0"/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ref="AS5:BP5" si="1">IF(AS2="单",$J$1,IF(AS2="双",$J$2,0))-AS3-AS6</f>
        <v>#VALUE!</v>
      </c>
      <c r="AT5" s="15" t="e">
        <f t="shared" si="1"/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</row>
    <row r="6" spans="1:68" ht="23" customHeight="1">
      <c r="A6" s="11" t="s">
        <v>8</v>
      </c>
      <c r="B6" s="11" t="s">
        <v>198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</row>
    <row r="7" spans="1:68" s="3" customFormat="1" ht="17.5" customHeight="1">
      <c r="A7" s="32" t="s">
        <v>199</v>
      </c>
      <c r="B7" s="32">
        <v>920</v>
      </c>
      <c r="C7" s="32" t="s">
        <v>200</v>
      </c>
      <c r="D7" s="32" t="s">
        <v>201</v>
      </c>
      <c r="E7" s="33" t="s">
        <v>202</v>
      </c>
      <c r="F7" s="32">
        <v>16</v>
      </c>
      <c r="G7" s="32">
        <v>4</v>
      </c>
      <c r="H7" s="34">
        <v>46122</v>
      </c>
      <c r="I7" s="34">
        <v>46157</v>
      </c>
      <c r="J7" s="32">
        <v>92</v>
      </c>
      <c r="K7" s="32" t="e">
        <f t="shared" ref="K7:K24" si="2">F6*G6*J6</f>
        <v>#VALUE!</v>
      </c>
      <c r="L7" s="55">
        <v>0</v>
      </c>
      <c r="M7" s="28">
        <v>92</v>
      </c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s="3" customFormat="1" ht="17.5" customHeight="1">
      <c r="A8" s="35" t="s">
        <v>203</v>
      </c>
      <c r="B8" s="35">
        <v>980</v>
      </c>
      <c r="C8" s="35" t="s">
        <v>204</v>
      </c>
      <c r="D8" s="35" t="s">
        <v>205</v>
      </c>
      <c r="E8" s="21" t="s">
        <v>206</v>
      </c>
      <c r="F8" s="19">
        <v>8</v>
      </c>
      <c r="G8" s="19">
        <v>10</v>
      </c>
      <c r="H8" s="36">
        <v>46120</v>
      </c>
      <c r="I8" s="23">
        <v>46155</v>
      </c>
      <c r="J8" s="19">
        <v>690</v>
      </c>
      <c r="K8" s="19">
        <f t="shared" si="2"/>
        <v>5888</v>
      </c>
      <c r="L8" s="26">
        <v>0</v>
      </c>
      <c r="M8" s="56">
        <v>690</v>
      </c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</row>
    <row r="9" spans="1:68" ht="17.5" customHeight="1">
      <c r="A9" s="35" t="s">
        <v>207</v>
      </c>
      <c r="B9" s="35">
        <v>830</v>
      </c>
      <c r="C9" s="35" t="s">
        <v>204</v>
      </c>
      <c r="D9" s="35" t="s">
        <v>208</v>
      </c>
      <c r="E9" s="21" t="s">
        <v>209</v>
      </c>
      <c r="F9" s="19">
        <v>8</v>
      </c>
      <c r="G9" s="19">
        <v>10</v>
      </c>
      <c r="H9" s="36">
        <v>46120</v>
      </c>
      <c r="I9" s="23">
        <v>46155</v>
      </c>
      <c r="J9" s="19">
        <v>690</v>
      </c>
      <c r="K9" s="19">
        <f t="shared" si="2"/>
        <v>55200</v>
      </c>
      <c r="L9" s="26">
        <v>0</v>
      </c>
      <c r="M9" s="56">
        <v>136</v>
      </c>
      <c r="N9" s="56">
        <v>554</v>
      </c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</row>
    <row r="10" spans="1:68" ht="17.5" customHeight="1">
      <c r="A10" s="32" t="s">
        <v>210</v>
      </c>
      <c r="B10" s="32">
        <v>830</v>
      </c>
      <c r="C10" s="32" t="s">
        <v>200</v>
      </c>
      <c r="D10" s="32" t="s">
        <v>211</v>
      </c>
      <c r="E10" s="33" t="s">
        <v>212</v>
      </c>
      <c r="F10" s="32">
        <v>16</v>
      </c>
      <c r="G10" s="32">
        <v>4</v>
      </c>
      <c r="H10" s="34">
        <v>46122</v>
      </c>
      <c r="I10" s="34">
        <v>46157</v>
      </c>
      <c r="J10" s="32">
        <v>1100</v>
      </c>
      <c r="K10" s="32">
        <f t="shared" si="2"/>
        <v>55200</v>
      </c>
      <c r="L10" s="55">
        <v>0</v>
      </c>
      <c r="M10" s="28"/>
      <c r="N10" s="28">
        <v>433</v>
      </c>
      <c r="O10" s="28">
        <v>667</v>
      </c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7.5" customHeight="1">
      <c r="A11" s="32" t="s">
        <v>213</v>
      </c>
      <c r="B11" s="32">
        <v>830</v>
      </c>
      <c r="C11" s="32" t="s">
        <v>200</v>
      </c>
      <c r="D11" s="32" t="s">
        <v>214</v>
      </c>
      <c r="E11" s="33" t="s">
        <v>215</v>
      </c>
      <c r="F11" s="32">
        <v>16</v>
      </c>
      <c r="G11" s="32">
        <v>4</v>
      </c>
      <c r="H11" s="34">
        <v>46122</v>
      </c>
      <c r="I11" s="34">
        <v>46157</v>
      </c>
      <c r="J11" s="32">
        <v>100</v>
      </c>
      <c r="K11" s="32">
        <f t="shared" si="2"/>
        <v>70400</v>
      </c>
      <c r="L11" s="55">
        <v>0</v>
      </c>
      <c r="M11" s="28"/>
      <c r="N11" s="28"/>
      <c r="O11" s="28">
        <v>100</v>
      </c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ht="16" customHeight="1">
      <c r="A12" s="32" t="s">
        <v>216</v>
      </c>
      <c r="B12" s="32">
        <v>830</v>
      </c>
      <c r="C12" s="32" t="s">
        <v>200</v>
      </c>
      <c r="D12" s="32" t="s">
        <v>217</v>
      </c>
      <c r="E12" s="33" t="s">
        <v>218</v>
      </c>
      <c r="F12" s="32">
        <v>16</v>
      </c>
      <c r="G12" s="32">
        <v>4</v>
      </c>
      <c r="H12" s="34">
        <v>46122</v>
      </c>
      <c r="I12" s="34">
        <v>46157</v>
      </c>
      <c r="J12" s="32">
        <v>100</v>
      </c>
      <c r="K12" s="32">
        <f t="shared" si="2"/>
        <v>6400</v>
      </c>
      <c r="L12" s="55">
        <v>0</v>
      </c>
      <c r="M12" s="28"/>
      <c r="N12" s="28"/>
      <c r="O12" s="28">
        <v>100</v>
      </c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s="3" customFormat="1" ht="17.5" customHeight="1">
      <c r="A13" s="32" t="s">
        <v>219</v>
      </c>
      <c r="B13" s="32">
        <v>830</v>
      </c>
      <c r="C13" s="32" t="s">
        <v>200</v>
      </c>
      <c r="D13" s="32" t="s">
        <v>220</v>
      </c>
      <c r="E13" s="33" t="s">
        <v>221</v>
      </c>
      <c r="F13" s="32">
        <v>16</v>
      </c>
      <c r="G13" s="32">
        <v>4</v>
      </c>
      <c r="H13" s="34">
        <v>46122</v>
      </c>
      <c r="I13" s="34">
        <v>46157</v>
      </c>
      <c r="J13" s="32">
        <v>1450</v>
      </c>
      <c r="K13" s="32">
        <f t="shared" si="2"/>
        <v>6400</v>
      </c>
      <c r="L13" s="55">
        <v>0</v>
      </c>
      <c r="M13" s="28"/>
      <c r="N13" s="28"/>
      <c r="O13" s="28">
        <v>258</v>
      </c>
      <c r="P13" s="28">
        <v>1125</v>
      </c>
      <c r="Q13" s="28"/>
      <c r="R13" s="28">
        <v>67</v>
      </c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  <row r="14" spans="1:68" s="3" customFormat="1" ht="17.5" customHeight="1">
      <c r="A14" s="35" t="s">
        <v>222</v>
      </c>
      <c r="B14" s="35">
        <v>880</v>
      </c>
      <c r="C14" s="35" t="s">
        <v>71</v>
      </c>
      <c r="D14" s="35" t="s">
        <v>223</v>
      </c>
      <c r="E14" s="21" t="s">
        <v>224</v>
      </c>
      <c r="F14" s="19">
        <v>10</v>
      </c>
      <c r="G14" s="19">
        <v>12</v>
      </c>
      <c r="H14" s="36">
        <v>46112</v>
      </c>
      <c r="I14" s="23">
        <v>46174</v>
      </c>
      <c r="J14" s="19">
        <v>50</v>
      </c>
      <c r="K14" s="19">
        <f t="shared" si="2"/>
        <v>92800</v>
      </c>
      <c r="L14" s="26">
        <v>0</v>
      </c>
      <c r="M14" s="56"/>
      <c r="N14" s="56"/>
      <c r="O14" s="56"/>
      <c r="P14" s="56"/>
      <c r="Q14" s="56"/>
      <c r="R14" s="56">
        <v>50</v>
      </c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</row>
    <row r="15" spans="1:68" ht="17.5" customHeight="1">
      <c r="A15" s="35" t="s">
        <v>225</v>
      </c>
      <c r="B15" s="35">
        <v>920</v>
      </c>
      <c r="C15" s="35" t="s">
        <v>43</v>
      </c>
      <c r="D15" s="35" t="s">
        <v>226</v>
      </c>
      <c r="E15" s="21" t="s">
        <v>227</v>
      </c>
      <c r="F15" s="19">
        <v>10</v>
      </c>
      <c r="G15" s="19">
        <v>4</v>
      </c>
      <c r="H15" s="36">
        <v>46114</v>
      </c>
      <c r="I15" s="23">
        <v>46167</v>
      </c>
      <c r="J15" s="19">
        <v>800</v>
      </c>
      <c r="K15" s="19">
        <f t="shared" si="2"/>
        <v>6000</v>
      </c>
      <c r="L15" s="26">
        <v>0</v>
      </c>
      <c r="M15" s="56"/>
      <c r="N15" s="56"/>
      <c r="O15" s="56"/>
      <c r="P15" s="56"/>
      <c r="Q15" s="56"/>
      <c r="R15" s="56">
        <v>800</v>
      </c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</row>
    <row r="16" spans="1:68" ht="17.5" customHeight="1">
      <c r="A16" s="32" t="s">
        <v>199</v>
      </c>
      <c r="B16" s="32">
        <v>920</v>
      </c>
      <c r="C16" s="32" t="s">
        <v>200</v>
      </c>
      <c r="D16" s="32" t="s">
        <v>228</v>
      </c>
      <c r="E16" s="33" t="s">
        <v>202</v>
      </c>
      <c r="F16" s="32">
        <v>16</v>
      </c>
      <c r="G16" s="32">
        <v>4</v>
      </c>
      <c r="H16" s="34">
        <v>46122</v>
      </c>
      <c r="I16" s="34">
        <v>46157</v>
      </c>
      <c r="J16" s="32">
        <v>400</v>
      </c>
      <c r="K16" s="32">
        <f t="shared" si="2"/>
        <v>32000</v>
      </c>
      <c r="L16" s="55">
        <v>0</v>
      </c>
      <c r="M16" s="28"/>
      <c r="N16" s="28"/>
      <c r="O16" s="28"/>
      <c r="P16" s="28"/>
      <c r="Q16" s="28"/>
      <c r="R16" s="28">
        <v>400</v>
      </c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8" ht="17.5" customHeight="1">
      <c r="A17" s="32" t="s">
        <v>229</v>
      </c>
      <c r="B17" s="32">
        <v>920</v>
      </c>
      <c r="C17" s="32" t="s">
        <v>200</v>
      </c>
      <c r="D17" s="32" t="s">
        <v>230</v>
      </c>
      <c r="E17" s="33" t="s">
        <v>231</v>
      </c>
      <c r="F17" s="32">
        <v>16</v>
      </c>
      <c r="G17" s="32">
        <v>4</v>
      </c>
      <c r="H17" s="34">
        <v>46122</v>
      </c>
      <c r="I17" s="34">
        <v>46162</v>
      </c>
      <c r="J17" s="32">
        <v>1700</v>
      </c>
      <c r="K17" s="32">
        <f t="shared" si="2"/>
        <v>25600</v>
      </c>
      <c r="L17" s="55">
        <v>0</v>
      </c>
      <c r="M17" s="28"/>
      <c r="N17" s="28"/>
      <c r="O17" s="28"/>
      <c r="P17" s="28"/>
      <c r="Q17" s="28"/>
      <c r="R17" s="28">
        <v>64</v>
      </c>
      <c r="S17" s="28">
        <v>1125</v>
      </c>
      <c r="T17" s="28">
        <v>511</v>
      </c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8" ht="17.5" customHeight="1">
      <c r="A18" s="35" t="s">
        <v>232</v>
      </c>
      <c r="B18" s="35"/>
      <c r="C18" s="35" t="s">
        <v>233</v>
      </c>
      <c r="D18" s="35" t="s">
        <v>234</v>
      </c>
      <c r="E18" s="21" t="s">
        <v>235</v>
      </c>
      <c r="F18" s="19">
        <v>10</v>
      </c>
      <c r="G18" s="19">
        <v>8</v>
      </c>
      <c r="H18" s="36">
        <v>46136</v>
      </c>
      <c r="I18" s="23">
        <v>46166</v>
      </c>
      <c r="J18" s="19">
        <v>380</v>
      </c>
      <c r="K18" s="19">
        <f t="shared" si="2"/>
        <v>108800</v>
      </c>
      <c r="L18" s="19">
        <v>0</v>
      </c>
      <c r="M18" s="28"/>
      <c r="N18" s="28"/>
      <c r="O18" s="28"/>
      <c r="P18" s="28"/>
      <c r="Q18" s="28"/>
      <c r="R18" s="28"/>
      <c r="S18" s="28"/>
      <c r="T18" s="28">
        <v>380</v>
      </c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7.5" customHeight="1">
      <c r="A19" s="35" t="s">
        <v>236</v>
      </c>
      <c r="B19" s="35"/>
      <c r="C19" s="35" t="s">
        <v>233</v>
      </c>
      <c r="D19" s="35" t="s">
        <v>237</v>
      </c>
      <c r="E19" s="21" t="s">
        <v>238</v>
      </c>
      <c r="F19" s="19">
        <v>10</v>
      </c>
      <c r="G19" s="19">
        <v>8</v>
      </c>
      <c r="H19" s="36">
        <v>46136</v>
      </c>
      <c r="I19" s="23">
        <v>46166</v>
      </c>
      <c r="J19" s="19">
        <v>625</v>
      </c>
      <c r="K19" s="19">
        <f t="shared" si="2"/>
        <v>30400</v>
      </c>
      <c r="L19" s="19">
        <v>0</v>
      </c>
      <c r="M19" s="28"/>
      <c r="N19" s="28"/>
      <c r="O19" s="28"/>
      <c r="P19" s="28"/>
      <c r="Q19" s="28"/>
      <c r="R19" s="28"/>
      <c r="S19" s="28"/>
      <c r="T19" s="28">
        <v>111</v>
      </c>
      <c r="U19" s="28">
        <v>514</v>
      </c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  <row r="20" spans="1:68" s="3" customFormat="1" ht="17.5" customHeight="1">
      <c r="A20" s="35" t="s">
        <v>239</v>
      </c>
      <c r="B20" s="35"/>
      <c r="C20" s="35" t="s">
        <v>74</v>
      </c>
      <c r="D20" s="35" t="s">
        <v>240</v>
      </c>
      <c r="E20" s="21" t="s">
        <v>241</v>
      </c>
      <c r="F20" s="19">
        <v>10</v>
      </c>
      <c r="G20" s="19">
        <v>8</v>
      </c>
      <c r="H20" s="36">
        <v>46136</v>
      </c>
      <c r="I20" s="23">
        <v>46168</v>
      </c>
      <c r="J20" s="19">
        <v>400</v>
      </c>
      <c r="K20" s="19">
        <f t="shared" si="2"/>
        <v>50000</v>
      </c>
      <c r="L20" s="19">
        <v>0</v>
      </c>
      <c r="M20" s="28"/>
      <c r="N20" s="28"/>
      <c r="O20" s="28"/>
      <c r="P20" s="28"/>
      <c r="Q20" s="28"/>
      <c r="R20" s="28"/>
      <c r="S20" s="28"/>
      <c r="T20" s="28"/>
      <c r="U20" s="28">
        <v>386</v>
      </c>
      <c r="V20" s="28">
        <v>14</v>
      </c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</row>
    <row r="21" spans="1:68" s="51" customFormat="1" ht="14" customHeight="1">
      <c r="A21" s="35" t="s">
        <v>242</v>
      </c>
      <c r="B21" s="35">
        <v>980</v>
      </c>
      <c r="C21" s="35" t="s">
        <v>71</v>
      </c>
      <c r="D21" s="35" t="s">
        <v>243</v>
      </c>
      <c r="E21" s="21" t="s">
        <v>244</v>
      </c>
      <c r="F21" s="19">
        <v>10</v>
      </c>
      <c r="G21" s="19">
        <v>12</v>
      </c>
      <c r="H21" s="36">
        <v>46112</v>
      </c>
      <c r="I21" s="23">
        <v>46174</v>
      </c>
      <c r="J21" s="19">
        <v>200</v>
      </c>
      <c r="K21" s="19">
        <f t="shared" si="2"/>
        <v>32000</v>
      </c>
      <c r="L21" s="26">
        <v>0</v>
      </c>
      <c r="M21" s="56"/>
      <c r="N21" s="56"/>
      <c r="O21" s="56"/>
      <c r="P21" s="56"/>
      <c r="Q21" s="56"/>
      <c r="R21" s="56"/>
      <c r="S21" s="56"/>
      <c r="T21" s="56"/>
      <c r="U21" s="56"/>
      <c r="V21" s="56">
        <v>200</v>
      </c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</row>
    <row r="22" spans="1:68" ht="17.5" customHeight="1">
      <c r="A22" s="19" t="s">
        <v>245</v>
      </c>
      <c r="B22" s="19">
        <v>980</v>
      </c>
      <c r="C22" s="19" t="s">
        <v>246</v>
      </c>
      <c r="D22" s="19" t="s">
        <v>247</v>
      </c>
      <c r="E22" s="21" t="s">
        <v>248</v>
      </c>
      <c r="F22" s="19">
        <v>10</v>
      </c>
      <c r="G22" s="19">
        <v>8</v>
      </c>
      <c r="H22" s="36">
        <v>46094</v>
      </c>
      <c r="I22" s="36">
        <v>46178</v>
      </c>
      <c r="J22" s="19">
        <v>220</v>
      </c>
      <c r="K22" s="25">
        <f t="shared" si="2"/>
        <v>24000</v>
      </c>
      <c r="L22" s="26">
        <v>0</v>
      </c>
      <c r="M22" s="57"/>
      <c r="N22" s="57"/>
      <c r="O22" s="57"/>
      <c r="P22" s="57"/>
      <c r="Q22" s="57"/>
      <c r="R22" s="57"/>
      <c r="S22" s="57"/>
      <c r="T22" s="57"/>
      <c r="U22" s="57"/>
      <c r="V22" s="57">
        <v>220</v>
      </c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</row>
    <row r="23" spans="1:68" s="51" customFormat="1" ht="18" customHeight="1">
      <c r="A23" s="37" t="s">
        <v>225</v>
      </c>
      <c r="B23" s="37">
        <v>920</v>
      </c>
      <c r="C23" s="37" t="s">
        <v>94</v>
      </c>
      <c r="D23" s="37"/>
      <c r="E23" s="38" t="s">
        <v>227</v>
      </c>
      <c r="F23" s="37">
        <v>10</v>
      </c>
      <c r="G23" s="37">
        <v>4</v>
      </c>
      <c r="H23" s="39">
        <v>46148</v>
      </c>
      <c r="I23" s="39">
        <v>46178</v>
      </c>
      <c r="J23" s="37">
        <v>1100</v>
      </c>
      <c r="K23" s="37">
        <f t="shared" si="2"/>
        <v>17600</v>
      </c>
      <c r="L23" s="37">
        <v>0</v>
      </c>
      <c r="M23" s="28"/>
      <c r="N23" s="28"/>
      <c r="O23" s="28"/>
      <c r="P23" s="28"/>
      <c r="Q23" s="28"/>
      <c r="R23" s="28"/>
      <c r="S23" s="28"/>
      <c r="T23" s="28"/>
      <c r="U23" s="28"/>
      <c r="V23" s="28">
        <v>732</v>
      </c>
      <c r="W23" s="28">
        <v>368</v>
      </c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</row>
    <row r="24" spans="1:68" s="51" customFormat="1">
      <c r="A24" s="19" t="s">
        <v>249</v>
      </c>
      <c r="B24" s="19">
        <v>880</v>
      </c>
      <c r="C24" s="19" t="s">
        <v>246</v>
      </c>
      <c r="D24" s="19" t="s">
        <v>250</v>
      </c>
      <c r="E24" s="21" t="s">
        <v>251</v>
      </c>
      <c r="F24" s="19">
        <v>10</v>
      </c>
      <c r="G24" s="19">
        <v>8</v>
      </c>
      <c r="H24" s="36">
        <v>46094</v>
      </c>
      <c r="I24" s="36">
        <v>46178</v>
      </c>
      <c r="J24" s="19">
        <v>1020</v>
      </c>
      <c r="K24" s="25">
        <f t="shared" si="2"/>
        <v>44000</v>
      </c>
      <c r="L24" s="26">
        <v>0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>
        <v>716</v>
      </c>
      <c r="X24" s="57"/>
      <c r="Y24" s="57">
        <v>304</v>
      </c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</row>
    <row r="25" spans="1:68" s="52" customFormat="1" ht="17.5" customHeight="1">
      <c r="A25" s="19"/>
      <c r="B25" s="19"/>
      <c r="C25" s="19"/>
      <c r="D25" s="19"/>
      <c r="E25" s="21"/>
      <c r="F25" s="19"/>
      <c r="G25" s="19"/>
      <c r="H25" s="36"/>
      <c r="I25" s="36"/>
      <c r="J25" s="19"/>
      <c r="K25" s="25"/>
      <c r="L25" s="26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</row>
    <row r="26" spans="1:68" ht="17.5" customHeight="1">
      <c r="A26" s="58" t="s">
        <v>252</v>
      </c>
      <c r="B26" s="58">
        <v>830</v>
      </c>
      <c r="C26" s="58" t="s">
        <v>253</v>
      </c>
      <c r="D26" s="58" t="s">
        <v>254</v>
      </c>
      <c r="E26" s="59" t="s">
        <v>255</v>
      </c>
      <c r="F26" s="60">
        <v>10</v>
      </c>
      <c r="G26" s="60">
        <v>12</v>
      </c>
      <c r="H26" s="41">
        <v>46066</v>
      </c>
      <c r="I26" s="41">
        <v>46097</v>
      </c>
      <c r="J26" s="60">
        <v>270</v>
      </c>
      <c r="K26" s="25">
        <f t="shared" ref="K26:K32" si="3">F25*G25*J25</f>
        <v>0</v>
      </c>
      <c r="L26" s="61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</row>
    <row r="27" spans="1:68" ht="17.5" customHeight="1">
      <c r="A27" s="62" t="s">
        <v>256</v>
      </c>
      <c r="B27" s="19">
        <v>920</v>
      </c>
      <c r="C27" s="62" t="s">
        <v>97</v>
      </c>
      <c r="D27" s="25" t="s">
        <v>257</v>
      </c>
      <c r="E27" s="63" t="s">
        <v>258</v>
      </c>
      <c r="F27" s="32">
        <v>10</v>
      </c>
      <c r="G27" s="32">
        <v>12</v>
      </c>
      <c r="H27" s="34">
        <v>46083</v>
      </c>
      <c r="I27" s="34">
        <v>46127</v>
      </c>
      <c r="J27" s="62">
        <v>390</v>
      </c>
      <c r="K27" s="19">
        <f t="shared" si="3"/>
        <v>32400</v>
      </c>
      <c r="L27" s="64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</row>
    <row r="28" spans="1:68" ht="17.5" customHeight="1">
      <c r="A28" s="62" t="s">
        <v>259</v>
      </c>
      <c r="B28" s="19">
        <v>980</v>
      </c>
      <c r="C28" s="62" t="s">
        <v>260</v>
      </c>
      <c r="D28" s="19" t="s">
        <v>261</v>
      </c>
      <c r="E28" s="63" t="s">
        <v>262</v>
      </c>
      <c r="F28" s="32">
        <v>10</v>
      </c>
      <c r="G28" s="32">
        <v>12</v>
      </c>
      <c r="H28" s="34">
        <v>46078</v>
      </c>
      <c r="I28" s="34">
        <v>46113</v>
      </c>
      <c r="J28" s="62">
        <v>720</v>
      </c>
      <c r="K28" s="19">
        <f t="shared" si="3"/>
        <v>46800</v>
      </c>
      <c r="L28" s="64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</row>
    <row r="29" spans="1:68" ht="17.5" customHeight="1">
      <c r="A29" s="62" t="s">
        <v>256</v>
      </c>
      <c r="B29" s="19">
        <v>920</v>
      </c>
      <c r="C29" s="62" t="s">
        <v>106</v>
      </c>
      <c r="D29" s="19" t="s">
        <v>263</v>
      </c>
      <c r="E29" s="63" t="s">
        <v>258</v>
      </c>
      <c r="F29" s="32">
        <v>10</v>
      </c>
      <c r="G29" s="32">
        <v>12</v>
      </c>
      <c r="H29" s="34">
        <v>46084</v>
      </c>
      <c r="I29" s="34">
        <v>46147</v>
      </c>
      <c r="J29" s="62">
        <v>790</v>
      </c>
      <c r="K29" s="19">
        <f t="shared" si="3"/>
        <v>86400</v>
      </c>
      <c r="L29" s="5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</row>
    <row r="30" spans="1:68" ht="17" customHeight="1">
      <c r="A30" s="62" t="s">
        <v>259</v>
      </c>
      <c r="B30" s="19">
        <v>980</v>
      </c>
      <c r="C30" s="62" t="s">
        <v>106</v>
      </c>
      <c r="D30" s="19" t="s">
        <v>264</v>
      </c>
      <c r="E30" s="63" t="s">
        <v>262</v>
      </c>
      <c r="F30" s="32">
        <v>10</v>
      </c>
      <c r="G30" s="32">
        <v>12</v>
      </c>
      <c r="H30" s="34">
        <v>46084</v>
      </c>
      <c r="I30" s="34">
        <v>46147</v>
      </c>
      <c r="J30" s="62">
        <v>720</v>
      </c>
      <c r="K30" s="25">
        <f t="shared" si="3"/>
        <v>94800</v>
      </c>
      <c r="L30" s="5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</row>
    <row r="31" spans="1:68" ht="17.5" customHeight="1">
      <c r="A31" s="62" t="s">
        <v>265</v>
      </c>
      <c r="B31" s="19">
        <v>880</v>
      </c>
      <c r="C31" s="62" t="s">
        <v>106</v>
      </c>
      <c r="D31" s="19" t="s">
        <v>266</v>
      </c>
      <c r="E31" s="63" t="s">
        <v>267</v>
      </c>
      <c r="F31" s="32">
        <v>10</v>
      </c>
      <c r="G31" s="32">
        <v>12</v>
      </c>
      <c r="H31" s="34">
        <v>46084</v>
      </c>
      <c r="I31" s="34">
        <v>46147</v>
      </c>
      <c r="J31" s="62">
        <v>810</v>
      </c>
      <c r="K31" s="25">
        <f t="shared" si="3"/>
        <v>86400</v>
      </c>
      <c r="L31" s="5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</row>
    <row r="32" spans="1:68" ht="18" customHeight="1">
      <c r="A32" s="62" t="s">
        <v>252</v>
      </c>
      <c r="B32" s="19">
        <v>830</v>
      </c>
      <c r="C32" s="62" t="s">
        <v>106</v>
      </c>
      <c r="D32" s="19" t="s">
        <v>268</v>
      </c>
      <c r="E32" s="63" t="s">
        <v>255</v>
      </c>
      <c r="F32" s="32">
        <v>10</v>
      </c>
      <c r="G32" s="32">
        <v>12</v>
      </c>
      <c r="H32" s="34">
        <v>46084</v>
      </c>
      <c r="I32" s="34">
        <v>46147</v>
      </c>
      <c r="J32" s="62">
        <v>800</v>
      </c>
      <c r="K32" s="25">
        <f t="shared" si="3"/>
        <v>97200</v>
      </c>
      <c r="L32" s="5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400-000000000000}">
      <formula1>"单,双"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BP19"/>
  <sheetViews>
    <sheetView showGridLines="0" zoomScale="70" zoomScaleNormal="70" workbookViewId="0">
      <pane xSplit="12" ySplit="5" topLeftCell="R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2.5" style="3" customWidth="1"/>
    <col min="2" max="2" width="25.1640625" style="3" customWidth="1"/>
    <col min="3" max="3" width="9.1640625" style="3" customWidth="1"/>
    <col min="4" max="4" width="23.1640625" style="3" customWidth="1"/>
    <col min="5" max="5" width="51.6640625" style="48" customWidth="1"/>
    <col min="6" max="7" width="8.83203125" style="3" customWidth="1"/>
    <col min="8" max="8" width="11.83203125" style="3" customWidth="1"/>
    <col min="9" max="9" width="14.1640625" style="3" customWidth="1"/>
    <col min="10" max="10" width="11.83203125" style="3" customWidth="1"/>
    <col min="11" max="11" width="12.83203125" style="3" customWidth="1"/>
    <col min="12" max="12" width="13.83203125" style="3" customWidth="1"/>
    <col min="13" max="68" width="9" style="91" customWidth="1"/>
  </cols>
  <sheetData>
    <row r="1" spans="1:68" s="1" customFormat="1" ht="16.25" customHeight="1">
      <c r="A1" s="99" t="s">
        <v>126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117810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214200</v>
      </c>
      <c r="K2" s="5" t="s">
        <v>137</v>
      </c>
      <c r="L2" s="7" t="e">
        <f>SUM(#REF!)</f>
        <v>#REF!</v>
      </c>
      <c r="M2" s="49" t="s">
        <v>197</v>
      </c>
      <c r="N2" s="49" t="s">
        <v>197</v>
      </c>
      <c r="O2" s="49" t="s">
        <v>197</v>
      </c>
      <c r="P2" s="49" t="s">
        <v>197</v>
      </c>
      <c r="Q2" s="49" t="s">
        <v>197</v>
      </c>
      <c r="R2" s="49" t="s">
        <v>197</v>
      </c>
      <c r="S2" s="49" t="s">
        <v>197</v>
      </c>
      <c r="T2" s="49" t="s">
        <v>197</v>
      </c>
      <c r="U2" s="49" t="s">
        <v>197</v>
      </c>
      <c r="V2" s="49" t="s">
        <v>197</v>
      </c>
      <c r="W2" s="49" t="s">
        <v>197</v>
      </c>
      <c r="X2" s="49" t="s">
        <v>197</v>
      </c>
      <c r="Y2" s="49" t="s">
        <v>197</v>
      </c>
      <c r="Z2" s="49" t="s">
        <v>197</v>
      </c>
      <c r="AA2" s="49" t="s">
        <v>197</v>
      </c>
      <c r="AB2" s="49" t="s">
        <v>197</v>
      </c>
      <c r="AC2" s="49" t="s">
        <v>197</v>
      </c>
      <c r="AD2" s="49" t="s">
        <v>197</v>
      </c>
      <c r="AE2" s="49" t="s">
        <v>197</v>
      </c>
      <c r="AF2" s="49" t="s">
        <v>197</v>
      </c>
      <c r="AG2" s="49" t="s">
        <v>197</v>
      </c>
      <c r="AH2" s="49" t="s">
        <v>197</v>
      </c>
      <c r="AI2" s="49" t="s">
        <v>197</v>
      </c>
      <c r="AJ2" s="49" t="s">
        <v>197</v>
      </c>
      <c r="AK2" s="49" t="s">
        <v>197</v>
      </c>
      <c r="AL2" s="49" t="s">
        <v>197</v>
      </c>
      <c r="AM2" s="49" t="s">
        <v>197</v>
      </c>
      <c r="AN2" s="49" t="s">
        <v>197</v>
      </c>
      <c r="AO2" s="49" t="s">
        <v>197</v>
      </c>
      <c r="AP2" s="49" t="s">
        <v>197</v>
      </c>
      <c r="AQ2" s="49" t="s">
        <v>197</v>
      </c>
      <c r="AR2" s="49" t="s">
        <v>197</v>
      </c>
      <c r="AS2" s="49" t="s">
        <v>197</v>
      </c>
      <c r="AT2" s="49" t="s">
        <v>197</v>
      </c>
      <c r="AU2" s="49" t="s">
        <v>197</v>
      </c>
      <c r="AV2" s="49" t="s">
        <v>197</v>
      </c>
      <c r="AW2" s="49" t="s">
        <v>197</v>
      </c>
      <c r="AX2" s="49" t="s">
        <v>197</v>
      </c>
      <c r="AY2" s="49" t="s">
        <v>197</v>
      </c>
      <c r="AZ2" s="49" t="s">
        <v>197</v>
      </c>
      <c r="BA2" s="49" t="s">
        <v>197</v>
      </c>
      <c r="BB2" s="49" t="s">
        <v>197</v>
      </c>
      <c r="BC2" s="49" t="s">
        <v>197</v>
      </c>
      <c r="BD2" s="49" t="s">
        <v>197</v>
      </c>
      <c r="BE2" s="49" t="s">
        <v>197</v>
      </c>
      <c r="BF2" s="49" t="s">
        <v>197</v>
      </c>
      <c r="BG2" s="49" t="s">
        <v>197</v>
      </c>
      <c r="BH2" s="49" t="s">
        <v>197</v>
      </c>
      <c r="BI2" s="49" t="s">
        <v>197</v>
      </c>
      <c r="BJ2" s="49" t="s">
        <v>197</v>
      </c>
      <c r="BK2" s="49" t="s">
        <v>197</v>
      </c>
      <c r="BL2" s="49" t="s">
        <v>197</v>
      </c>
      <c r="BM2" s="49" t="s">
        <v>197</v>
      </c>
      <c r="BN2" s="49" t="s">
        <v>197</v>
      </c>
      <c r="BO2" s="49" t="s">
        <v>197</v>
      </c>
      <c r="BP2" s="49" t="s">
        <v>197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MAX(0,SUM(IF(FREQUENCY(IF((M7:M19&gt;0)*($G7:$G19&lt;&gt;""),MATCH($G7:$G19,$G7:$G19,0)),ROW($G7:$G19)-ROW($G7)+1)&gt;0,1))-1)*IF(M2="双",VLOOKUP($A$1,换码设置!$A:$C,2,FALSE),IF(M2="单",VLOOKUP($A$1,换码设置!$A:$C,3,FALSE),0))</f>
        <v>#VALUE!</v>
      </c>
      <c r="N3" t="e">
        <f>MAX(0,SUM(IF(FREQUENCY(IF((N7:N19&gt;0)*($G7:$G19&lt;&gt;""),MATCH($G7:$G19,$G7:$G19,0)),ROW($G7:$G19)-ROW($G7)+1)&gt;0,1))-1)*IF(N2="双",VLOOKUP($A$1,换码设置!$A:$C,2,FALSE),IF(N2="单",VLOOKUP($A$1,换码设置!$A:$C,3,FALSE),0))</f>
        <v>#VALUE!</v>
      </c>
      <c r="O3" t="e">
        <f>MAX(0,SUM(IF(FREQUENCY(IF((O7:O19&gt;0)*($G7:$G19&lt;&gt;""),MATCH($G7:$G19,$G7:$G19,0)),ROW($G7:$G19)-ROW($G7)+1)&gt;0,1))-1)*IF(O2="双",VLOOKUP($A$1,换码设置!$A:$C,2,FALSE),IF(O2="单",VLOOKUP($A$1,换码设置!$A:$C,3,FALSE),0))</f>
        <v>#VALUE!</v>
      </c>
      <c r="P3" t="e">
        <f>MAX(0,SUM(IF(FREQUENCY(IF((P7:P19&gt;0)*($G7:$G19&lt;&gt;""),MATCH($G7:$G19,$G7:$G19,0)),ROW($G7:$G19)-ROW($G7)+1)&gt;0,1))-1)*IF(P2="双",VLOOKUP($A$1,换码设置!$A:$C,2,FALSE),IF(P2="单",VLOOKUP($A$1,换码设置!$A:$C,3,FALSE),0))</f>
        <v>#VALUE!</v>
      </c>
      <c r="Q3" t="e">
        <f>MAX(0,SUM(IF(FREQUENCY(IF((Q7:Q19&gt;0)*($G7:$G19&lt;&gt;""),MATCH($G7:$G19,$G7:$G19,0)),ROW($G7:$G19)-ROW($G7)+1)&gt;0,1))-1)*IF(Q2="双",VLOOKUP($A$1,换码设置!$A:$C,2,FALSE),IF(Q2="单",VLOOKUP($A$1,换码设置!$A:$C,3,FALSE),0))</f>
        <v>#VALUE!</v>
      </c>
      <c r="R3" t="e">
        <f>MAX(0,SUM(IF(FREQUENCY(IF((R7:R19&gt;0)*($G7:$G19&lt;&gt;""),MATCH($G7:$G19,$G7:$G19,0)),ROW($G7:$G19)-ROW($G7)+1)&gt;0,1))-1)*IF(R2="双",VLOOKUP($A$1,换码设置!$A:$C,2,FALSE),IF(R2="单",VLOOKUP($A$1,换码设置!$A:$C,3,FALSE),0))</f>
        <v>#VALUE!</v>
      </c>
      <c r="S3" t="e">
        <f>MAX(0,SUM(IF(FREQUENCY(IF((S7:S19&gt;0)*($G7:$G19&lt;&gt;""),MATCH($G7:$G19,$G7:$G19,0)),ROW($G7:$G19)-ROW($G7)+1)&gt;0,1))-1)*IF(S2="双",VLOOKUP($A$1,换码设置!$A:$C,2,FALSE),IF(S2="单",VLOOKUP($A$1,换码设置!$A:$C,3,FALSE),0))</f>
        <v>#VALUE!</v>
      </c>
      <c r="T3" t="e">
        <f>MAX(0,SUM(IF(FREQUENCY(IF((T7:T19&gt;0)*($G7:$G19&lt;&gt;""),MATCH($G7:$G19,$G7:$G19,0)),ROW($G7:$G19)-ROW($G7)+1)&gt;0,1))-1)*IF(T2="双",VLOOKUP($A$1,换码设置!$A:$C,2,FALSE),IF(T2="单",VLOOKUP($A$1,换码设置!$A:$C,3,FALSE),0))</f>
        <v>#VALUE!</v>
      </c>
      <c r="U3" t="e">
        <f>MAX(0,SUM(IF(FREQUENCY(IF((U7:U19&gt;0)*($G7:$G19&lt;&gt;""),MATCH($G7:$G19,$G7:$G19,0)),ROW($G7:$G19)-ROW($G7)+1)&gt;0,1))-1)*IF(U2="双",VLOOKUP($A$1,换码设置!$A:$C,2,FALSE),IF(U2="单",VLOOKUP($A$1,换码设置!$A:$C,3,FALSE),0))</f>
        <v>#VALUE!</v>
      </c>
      <c r="V3" t="e">
        <f>MAX(0,SUM(IF(FREQUENCY(IF((V7:V19&gt;0)*($G7:$G19&lt;&gt;""),MATCH($G7:$G19,$G7:$G19,0)),ROW($G7:$G19)-ROW($G7)+1)&gt;0,1))-1)*IF(V2="双",VLOOKUP($A$1,换码设置!$A:$C,2,FALSE),IF(V2="单",VLOOKUP($A$1,换码设置!$A:$C,3,FALSE),0))</f>
        <v>#VALUE!</v>
      </c>
      <c r="W3" t="e">
        <f>MAX(0,SUM(IF(FREQUENCY(IF((W7:W19&gt;0)*($G7:$G19&lt;&gt;""),MATCH($G7:$G19,$G7:$G19,0)),ROW($G7:$G19)-ROW($G7)+1)&gt;0,1))-1)*IF(W2="双",VLOOKUP($A$1,换码设置!$A:$C,2,FALSE),IF(W2="单",VLOOKUP($A$1,换码设置!$A:$C,3,FALSE),0))</f>
        <v>#VALUE!</v>
      </c>
      <c r="X3" t="e">
        <f>MAX(0,SUM(IF(FREQUENCY(IF((X7:X19&gt;0)*($G7:$G19&lt;&gt;""),MATCH($G7:$G19,$G7:$G19,0)),ROW($G7:$G19)-ROW($G7)+1)&gt;0,1))-1)*IF(X2="双",VLOOKUP($A$1,换码设置!$A:$C,2,FALSE),IF(X2="单",VLOOKUP($A$1,换码设置!$A:$C,3,FALSE),0))</f>
        <v>#VALUE!</v>
      </c>
      <c r="Y3" t="e">
        <f>MAX(0,SUM(IF(FREQUENCY(IF((Y7:Y19&gt;0)*($G7:$G19&lt;&gt;""),MATCH($G7:$G19,$G7:$G19,0)),ROW($G7:$G19)-ROW($G7)+1)&gt;0,1))-1)*IF(Y2="双",VLOOKUP($A$1,换码设置!$A:$C,2,FALSE),IF(Y2="单",VLOOKUP($A$1,换码设置!$A:$C,3,FALSE),0))</f>
        <v>#VALUE!</v>
      </c>
      <c r="Z3" t="e">
        <f>MAX(0,SUM(IF(FREQUENCY(IF((Z7:Z19&gt;0)*($G7:$G19&lt;&gt;""),MATCH($G7:$G19,$G7:$G19,0)),ROW($G7:$G19)-ROW($G7)+1)&gt;0,1))-1)*IF(Z2="双",VLOOKUP($A$1,换码设置!$A:$C,2,FALSE),IF(Z2="单",VLOOKUP($A$1,换码设置!$A:$C,3,FALSE),0))</f>
        <v>#VALUE!</v>
      </c>
      <c r="AA3" t="e">
        <f>MAX(0,SUM(IF(FREQUENCY(IF((AA7:AA19&gt;0)*($G7:$G19&lt;&gt;""),MATCH($G7:$G19,$G7:$G19,0)),ROW($G7:$G19)-ROW($G7)+1)&gt;0,1))-1)*IF(AA2="双",VLOOKUP($A$1,换码设置!$A:$C,2,FALSE),IF(AA2="单",VLOOKUP($A$1,换码设置!$A:$C,3,FALSE),0))</f>
        <v>#VALUE!</v>
      </c>
      <c r="AB3" t="e">
        <f>MAX(0,SUM(IF(FREQUENCY(IF((AB7:AB19&gt;0)*($G7:$G19&lt;&gt;""),MATCH($G7:$G19,$G7:$G19,0)),ROW($G7:$G19)-ROW($G7)+1)&gt;0,1))-1)*IF(AB2="双",VLOOKUP($A$1,换码设置!$A:$C,2,FALSE),IF(AB2="单",VLOOKUP($A$1,换码设置!$A:$C,3,FALSE),0))</f>
        <v>#VALUE!</v>
      </c>
      <c r="AC3" t="e">
        <f>MAX(0,SUM(IF(FREQUENCY(IF((AC7:AC19&gt;0)*($G7:$G19&lt;&gt;""),MATCH($G7:$G19,$G7:$G19,0)),ROW($G7:$G19)-ROW($G7)+1)&gt;0,1))-1)*IF(AC2="双",VLOOKUP($A$1,换码设置!$A:$C,2,FALSE),IF(AC2="单",VLOOKUP($A$1,换码设置!$A:$C,3,FALSE),0))</f>
        <v>#VALUE!</v>
      </c>
      <c r="AD3" t="e">
        <f>MAX(0,SUM(IF(FREQUENCY(IF((AD7:AD19&gt;0)*($G7:$G19&lt;&gt;""),MATCH($G7:$G19,$G7:$G19,0)),ROW($G7:$G19)-ROW($G7)+1)&gt;0,1))-1)*IF(AD2="双",VLOOKUP($A$1,换码设置!$A:$C,2,FALSE),IF(AD2="单",VLOOKUP($A$1,换码设置!$A:$C,3,FALSE),0))</f>
        <v>#VALUE!</v>
      </c>
      <c r="AE3" t="e">
        <f>MAX(0,SUM(IF(FREQUENCY(IF((AE7:AE19&gt;0)*($G7:$G19&lt;&gt;""),MATCH($G7:$G19,$G7:$G19,0)),ROW($G7:$G19)-ROW($G7)+1)&gt;0,1))-1)*IF(AE2="双",VLOOKUP($A$1,换码设置!$A:$C,2,FALSE),IF(AE2="单",VLOOKUP($A$1,换码设置!$A:$C,3,FALSE),0))</f>
        <v>#VALUE!</v>
      </c>
      <c r="AF3" t="e">
        <f>MAX(0,SUM(IF(FREQUENCY(IF((AF7:AF19&gt;0)*($G7:$G19&lt;&gt;""),MATCH($G7:$G19,$G7:$G19,0)),ROW($G7:$G19)-ROW($G7)+1)&gt;0,1))-1)*IF(AF2="双",VLOOKUP($A$1,换码设置!$A:$C,2,FALSE),IF(AF2="单",VLOOKUP($A$1,换码设置!$A:$C,3,FALSE),0))</f>
        <v>#VALUE!</v>
      </c>
      <c r="AG3" t="e">
        <f>MAX(0,SUM(IF(FREQUENCY(IF((AG7:AG19&gt;0)*($G7:$G19&lt;&gt;""),MATCH($G7:$G19,$G7:$G19,0)),ROW($G7:$G19)-ROW($G7)+1)&gt;0,1))-1)*IF(AG2="双",VLOOKUP($A$1,换码设置!$A:$C,2,FALSE),IF(AG2="单",VLOOKUP($A$1,换码设置!$A:$C,3,FALSE),0))</f>
        <v>#VALUE!</v>
      </c>
      <c r="AH3" t="e">
        <f>MAX(0,SUM(IF(FREQUENCY(IF((AH7:AH19&gt;0)*($G7:$G19&lt;&gt;""),MATCH($G7:$G19,$G7:$G19,0)),ROW($G7:$G19)-ROW($G7)+1)&gt;0,1))-1)*IF(AH2="双",VLOOKUP($A$1,换码设置!$A:$C,2,FALSE),IF(AH2="单",VLOOKUP($A$1,换码设置!$A:$C,3,FALSE),0))</f>
        <v>#VALUE!</v>
      </c>
      <c r="AI3" t="e">
        <f>MAX(0,SUM(IF(FREQUENCY(IF((AI7:AI19&gt;0)*($G7:$G19&lt;&gt;""),MATCH($G7:$G19,$G7:$G19,0)),ROW($G7:$G19)-ROW($G7)+1)&gt;0,1))-1)*IF(AI2="双",VLOOKUP($A$1,换码设置!$A:$C,2,FALSE),IF(AI2="单",VLOOKUP($A$1,换码设置!$A:$C,3,FALSE),0))</f>
        <v>#VALUE!</v>
      </c>
      <c r="AJ3" t="e">
        <f>MAX(0,SUM(IF(FREQUENCY(IF((AJ7:AJ19&gt;0)*($G7:$G19&lt;&gt;""),MATCH($G7:$G19,$G7:$G19,0)),ROW($G7:$G19)-ROW($G7)+1)&gt;0,1))-1)*IF(AJ2="双",VLOOKUP($A$1,换码设置!$A:$C,2,FALSE),IF(AJ2="单",VLOOKUP($A$1,换码设置!$A:$C,3,FALSE),0))</f>
        <v>#VALUE!</v>
      </c>
      <c r="AK3" t="e">
        <f>MAX(0,SUM(IF(FREQUENCY(IF((AK7:AK19&gt;0)*($G7:$G19&lt;&gt;""),MATCH($G7:$G19,$G7:$G19,0)),ROW($G7:$G19)-ROW($G7)+1)&gt;0,1))-1)*IF(AK2="双",VLOOKUP($A$1,换码设置!$A:$C,2,FALSE),IF(AK2="单",VLOOKUP($A$1,换码设置!$A:$C,3,FALSE),0))</f>
        <v>#VALUE!</v>
      </c>
      <c r="AL3" t="e">
        <f>MAX(0,SUM(IF(FREQUENCY(IF((AL7:AL19&gt;0)*($G7:$G19&lt;&gt;""),MATCH($G7:$G19,$G7:$G19,0)),ROW($G7:$G19)-ROW($G7)+1)&gt;0,1))-1)*IF(AL2="双",VLOOKUP($A$1,换码设置!$A:$C,2,FALSE),IF(AL2="单",VLOOKUP($A$1,换码设置!$A:$C,3,FALSE),0))</f>
        <v>#VALUE!</v>
      </c>
      <c r="AM3" t="e">
        <f>MAX(0,SUM(IF(FREQUENCY(IF((AM7:AM19&gt;0)*($G7:$G19&lt;&gt;""),MATCH($G7:$G19,$G7:$G19,0)),ROW($G7:$G19)-ROW($G7)+1)&gt;0,1))-1)*IF(AM2="双",VLOOKUP($A$1,换码设置!$A:$C,2,FALSE),IF(AM2="单",VLOOKUP($A$1,换码设置!$A:$C,3,FALSE),0))</f>
        <v>#VALUE!</v>
      </c>
      <c r="AN3" t="e">
        <f>MAX(0,SUM(IF(FREQUENCY(IF((AN7:AN19&gt;0)*($G7:$G19&lt;&gt;""),MATCH($G7:$G19,$G7:$G19,0)),ROW($G7:$G19)-ROW($G7)+1)&gt;0,1))-1)*IF(AN2="双",VLOOKUP($A$1,换码设置!$A:$C,2,FALSE),IF(AN2="单",VLOOKUP($A$1,换码设置!$A:$C,3,FALSE),0))</f>
        <v>#VALUE!</v>
      </c>
      <c r="AO3" t="e">
        <f>MAX(0,SUM(IF(FREQUENCY(IF((AO7:AO19&gt;0)*($G7:$G19&lt;&gt;""),MATCH($G7:$G19,$G7:$G19,0)),ROW($G7:$G19)-ROW($G7)+1)&gt;0,1))-1)*IF(AO2="双",VLOOKUP($A$1,换码设置!$A:$C,2,FALSE),IF(AO2="单",VLOOKUP($A$1,换码设置!$A:$C,3,FALSE),0))</f>
        <v>#VALUE!</v>
      </c>
      <c r="AP3" t="e">
        <f>MAX(0,SUM(IF(FREQUENCY(IF((AP7:AP19&gt;0)*($G7:$G19&lt;&gt;""),MATCH($G7:$G19,$G7:$G19,0)),ROW($G7:$G19)-ROW($G7)+1)&gt;0,1))-1)*IF(AP2="双",VLOOKUP($A$1,换码设置!$A:$C,2,FALSE),IF(AP2="单",VLOOKUP($A$1,换码设置!$A:$C,3,FALSE),0))</f>
        <v>#VALUE!</v>
      </c>
      <c r="AQ3" t="e">
        <f>MAX(0,SUM(IF(FREQUENCY(IF((AQ7:AQ19&gt;0)*($G7:$G19&lt;&gt;""),MATCH($G7:$G19,$G7:$G19,0)),ROW($G7:$G19)-ROW($G7)+1)&gt;0,1))-1)*IF(AQ2="双",VLOOKUP($A$1,换码设置!$A:$C,2,FALSE),IF(AQ2="单",VLOOKUP($A$1,换码设置!$A:$C,3,FALSE),0))</f>
        <v>#VALUE!</v>
      </c>
      <c r="AR3" t="e">
        <f>MAX(0,SUM(IF(FREQUENCY(IF((AR7:AR19&gt;0)*($G7:$G19&lt;&gt;""),MATCH($G7:$G19,$G7:$G19,0)),ROW($G7:$G19)-ROW($G7)+1)&gt;0,1))-1)*IF(AR2="双",VLOOKUP($A$1,换码设置!$A:$C,2,FALSE),IF(AR2="单",VLOOKUP($A$1,换码设置!$A:$C,3,FALSE),0))</f>
        <v>#VALUE!</v>
      </c>
      <c r="AS3" t="e">
        <f>MAX(0,SUM(IF(FREQUENCY(IF((AS7:AS19&gt;0)*($G7:$G19&lt;&gt;""),MATCH($G7:$G19,$G7:$G19,0)),ROW($G7:$G19)-ROW($G7)+1)&gt;0,1))-1)*IF(AS2="双",VLOOKUP($A$1,换码设置!$A:$C,2,FALSE),IF(AS2="单",VLOOKUP($A$1,换码设置!$A:$C,3,FALSE),0))</f>
        <v>#VALUE!</v>
      </c>
      <c r="AT3" t="e">
        <f>MAX(0,SUM(IF(FREQUENCY(IF((AT7:AT19&gt;0)*($G7:$G19&lt;&gt;""),MATCH($G7:$G19,$G7:$G19,0)),ROW($G7:$G19)-ROW($G7)+1)&gt;0,1))-1)*IF(AT2="双",VLOOKUP($A$1,换码设置!$A:$C,2,FALSE),IF(AT2="单",VLOOKUP($A$1,换码设置!$A:$C,3,FALSE),0))</f>
        <v>#VALUE!</v>
      </c>
      <c r="AU3" t="e">
        <f>MAX(0,SUM(IF(FREQUENCY(IF((AU7:AU19&gt;0)*($G7:$G19&lt;&gt;""),MATCH($G7:$G19,$G7:$G19,0)),ROW($G7:$G19)-ROW($G7)+1)&gt;0,1))-1)*IF(AU2="双",VLOOKUP($A$1,换码设置!$A:$C,2,FALSE),IF(AU2="单",VLOOKUP($A$1,换码设置!$A:$C,3,FALSE),0))</f>
        <v>#VALUE!</v>
      </c>
      <c r="AV3" t="e">
        <f>MAX(0,SUM(IF(FREQUENCY(IF((AV7:AV19&gt;0)*($G7:$G19&lt;&gt;""),MATCH($G7:$G19,$G7:$G19,0)),ROW($G7:$G19)-ROW($G7)+1)&gt;0,1))-1)*IF(AV2="双",VLOOKUP($A$1,换码设置!$A:$C,2,FALSE),IF(AV2="单",VLOOKUP($A$1,换码设置!$A:$C,3,FALSE),0))</f>
        <v>#VALUE!</v>
      </c>
      <c r="AW3" t="e">
        <f>MAX(0,SUM(IF(FREQUENCY(IF((AW7:AW19&gt;0)*($G7:$G19&lt;&gt;""),MATCH($G7:$G19,$G7:$G19,0)),ROW($G7:$G19)-ROW($G7)+1)&gt;0,1))-1)*IF(AW2="双",VLOOKUP($A$1,换码设置!$A:$C,2,FALSE),IF(AW2="单",VLOOKUP($A$1,换码设置!$A:$C,3,FALSE),0))</f>
        <v>#VALUE!</v>
      </c>
      <c r="AX3" t="e">
        <f>MAX(0,SUM(IF(FREQUENCY(IF((AX7:AX19&gt;0)*($G7:$G19&lt;&gt;""),MATCH($G7:$G19,$G7:$G19,0)),ROW($G7:$G19)-ROW($G7)+1)&gt;0,1))-1)*IF(AX2="双",VLOOKUP($A$1,换码设置!$A:$C,2,FALSE),IF(AX2="单",VLOOKUP($A$1,换码设置!$A:$C,3,FALSE),0))</f>
        <v>#VALUE!</v>
      </c>
      <c r="AY3" t="e">
        <f>MAX(0,SUM(IF(FREQUENCY(IF((AY7:AY19&gt;0)*($G7:$G19&lt;&gt;""),MATCH($G7:$G19,$G7:$G19,0)),ROW($G7:$G19)-ROW($G7)+1)&gt;0,1))-1)*IF(AY2="双",VLOOKUP($A$1,换码设置!$A:$C,2,FALSE),IF(AY2="单",VLOOKUP($A$1,换码设置!$A:$C,3,FALSE),0))</f>
        <v>#VALUE!</v>
      </c>
      <c r="AZ3" t="e">
        <f>MAX(0,SUM(IF(FREQUENCY(IF((AZ7:AZ19&gt;0)*($G7:$G19&lt;&gt;""),MATCH($G7:$G19,$G7:$G19,0)),ROW($G7:$G19)-ROW($G7)+1)&gt;0,1))-1)*IF(AZ2="双",VLOOKUP($A$1,换码设置!$A:$C,2,FALSE),IF(AZ2="单",VLOOKUP($A$1,换码设置!$A:$C,3,FALSE),0))</f>
        <v>#VALUE!</v>
      </c>
      <c r="BA3" t="e">
        <f>MAX(0,SUM(IF(FREQUENCY(IF((BA7:BA19&gt;0)*($G7:$G19&lt;&gt;""),MATCH($G7:$G19,$G7:$G19,0)),ROW($G7:$G19)-ROW($G7)+1)&gt;0,1))-1)*IF(BA2="双",VLOOKUP($A$1,换码设置!$A:$C,2,FALSE),IF(BA2="单",VLOOKUP($A$1,换码设置!$A:$C,3,FALSE),0))</f>
        <v>#VALUE!</v>
      </c>
      <c r="BB3" t="e">
        <f>MAX(0,SUM(IF(FREQUENCY(IF((BB7:BB19&gt;0)*($G7:$G19&lt;&gt;""),MATCH($G7:$G19,$G7:$G19,0)),ROW($G7:$G19)-ROW($G7)+1)&gt;0,1))-1)*IF(BB2="双",VLOOKUP($A$1,换码设置!$A:$C,2,FALSE),IF(BB2="单",VLOOKUP($A$1,换码设置!$A:$C,3,FALSE),0))</f>
        <v>#VALUE!</v>
      </c>
      <c r="BC3" t="e">
        <f>MAX(0,SUM(IF(FREQUENCY(IF((BC7:BC19&gt;0)*($G7:$G19&lt;&gt;""),MATCH($G7:$G19,$G7:$G19,0)),ROW($G7:$G19)-ROW($G7)+1)&gt;0,1))-1)*IF(BC2="双",VLOOKUP($A$1,换码设置!$A:$C,2,FALSE),IF(BC2="单",VLOOKUP($A$1,换码设置!$A:$C,3,FALSE),0))</f>
        <v>#VALUE!</v>
      </c>
      <c r="BD3" t="e">
        <f>MAX(0,SUM(IF(FREQUENCY(IF((BD7:BD19&gt;0)*($G7:$G19&lt;&gt;""),MATCH($G7:$G19,$G7:$G19,0)),ROW($G7:$G19)-ROW($G7)+1)&gt;0,1))-1)*IF(BD2="双",VLOOKUP($A$1,换码设置!$A:$C,2,FALSE),IF(BD2="单",VLOOKUP($A$1,换码设置!$A:$C,3,FALSE),0))</f>
        <v>#VALUE!</v>
      </c>
      <c r="BE3" t="e">
        <f>MAX(0,SUM(IF(FREQUENCY(IF((BE7:BE19&gt;0)*($G7:$G19&lt;&gt;""),MATCH($G7:$G19,$G7:$G19,0)),ROW($G7:$G19)-ROW($G7)+1)&gt;0,1))-1)*IF(BE2="双",VLOOKUP($A$1,换码设置!$A:$C,2,FALSE),IF(BE2="单",VLOOKUP($A$1,换码设置!$A:$C,3,FALSE),0))</f>
        <v>#VALUE!</v>
      </c>
      <c r="BF3" t="e">
        <f>MAX(0,SUM(IF(FREQUENCY(IF((BF7:BF19&gt;0)*($G7:$G19&lt;&gt;""),MATCH($G7:$G19,$G7:$G19,0)),ROW($G7:$G19)-ROW($G7)+1)&gt;0,1))-1)*IF(BF2="双",VLOOKUP($A$1,换码设置!$A:$C,2,FALSE),IF(BF2="单",VLOOKUP($A$1,换码设置!$A:$C,3,FALSE),0))</f>
        <v>#VALUE!</v>
      </c>
      <c r="BG3" t="e">
        <f>MAX(0,SUM(IF(FREQUENCY(IF((BG7:BG19&gt;0)*($G7:$G19&lt;&gt;""),MATCH($G7:$G19,$G7:$G19,0)),ROW($G7:$G19)-ROW($G7)+1)&gt;0,1))-1)*IF(BG2="双",VLOOKUP($A$1,换码设置!$A:$C,2,FALSE),IF(BG2="单",VLOOKUP($A$1,换码设置!$A:$C,3,FALSE),0))</f>
        <v>#VALUE!</v>
      </c>
      <c r="BH3" t="e">
        <f>MAX(0,SUM(IF(FREQUENCY(IF((BH7:BH19&gt;0)*($G7:$G19&lt;&gt;""),MATCH($G7:$G19,$G7:$G19,0)),ROW($G7:$G19)-ROW($G7)+1)&gt;0,1))-1)*IF(BH2="双",VLOOKUP($A$1,换码设置!$A:$C,2,FALSE),IF(BH2="单",VLOOKUP($A$1,换码设置!$A:$C,3,FALSE),0))</f>
        <v>#VALUE!</v>
      </c>
      <c r="BI3" t="e">
        <f>MAX(0,SUM(IF(FREQUENCY(IF((BI7:BI19&gt;0)*($G7:$G19&lt;&gt;""),MATCH($G7:$G19,$G7:$G19,0)),ROW($G7:$G19)-ROW($G7)+1)&gt;0,1))-1)*IF(BI2="双",VLOOKUP($A$1,换码设置!$A:$C,2,FALSE),IF(BI2="单",VLOOKUP($A$1,换码设置!$A:$C,3,FALSE),0))</f>
        <v>#VALUE!</v>
      </c>
      <c r="BJ3" t="e">
        <f>MAX(0,SUM(IF(FREQUENCY(IF((BJ7:BJ19&gt;0)*($G7:$G19&lt;&gt;""),MATCH($G7:$G19,$G7:$G19,0)),ROW($G7:$G19)-ROW($G7)+1)&gt;0,1))-1)*IF(BJ2="双",VLOOKUP($A$1,换码设置!$A:$C,2,FALSE),IF(BJ2="单",VLOOKUP($A$1,换码设置!$A:$C,3,FALSE),0))</f>
        <v>#VALUE!</v>
      </c>
      <c r="BK3" t="e">
        <f>MAX(0,SUM(IF(FREQUENCY(IF((BK7:BK19&gt;0)*($G7:$G19&lt;&gt;""),MATCH($G7:$G19,$G7:$G19,0)),ROW($G7:$G19)-ROW($G7)+1)&gt;0,1))-1)*IF(BK2="双",VLOOKUP($A$1,换码设置!$A:$C,2,FALSE),IF(BK2="单",VLOOKUP($A$1,换码设置!$A:$C,3,FALSE),0))</f>
        <v>#VALUE!</v>
      </c>
      <c r="BL3" t="e">
        <f>MAX(0,SUM(IF(FREQUENCY(IF((BL7:BL19&gt;0)*($G7:$G19&lt;&gt;""),MATCH($G7:$G19,$G7:$G19,0)),ROW($G7:$G19)-ROW($G7)+1)&gt;0,1))-1)*IF(BL2="双",VLOOKUP($A$1,换码设置!$A:$C,2,FALSE),IF(BL2="单",VLOOKUP($A$1,换码设置!$A:$C,3,FALSE),0))</f>
        <v>#VALUE!</v>
      </c>
      <c r="BM3" t="e">
        <f>MAX(0,SUM(IF(FREQUENCY(IF((BM7:BM19&gt;0)*($G7:$G19&lt;&gt;""),MATCH($G7:$G19,$G7:$G19,0)),ROW($G7:$G19)-ROW($G7)+1)&gt;0,1))-1)*IF(BM2="双",VLOOKUP($A$1,换码设置!$A:$C,2,FALSE),IF(BM2="单",VLOOKUP($A$1,换码设置!$A:$C,3,FALSE),0))</f>
        <v>#VALUE!</v>
      </c>
      <c r="BN3" t="e">
        <f>MAX(0,SUM(IF(FREQUENCY(IF((BN7:BN19&gt;0)*($G7:$G19&lt;&gt;""),MATCH($G7:$G19,$G7:$G19,0)),ROW($G7:$G19)-ROW($G7)+1)&gt;0,1))-1)*IF(BN2="双",VLOOKUP($A$1,换码设置!$A:$C,2,FALSE),IF(BN2="单",VLOOKUP($A$1,换码设置!$A:$C,3,FALSE),0))</f>
        <v>#VALUE!</v>
      </c>
      <c r="BO3" t="e">
        <f>MAX(0,SUM(IF(FREQUENCY(IF((BO7:BO19&gt;0)*($G7:$G19&lt;&gt;""),MATCH($G7:$G19,$G7:$G19,0)),ROW($G7:$G19)-ROW($G7)+1)&gt;0,1))-1)*IF(BO2="双",VLOOKUP($A$1,换码设置!$A:$C,2,FALSE),IF(BO2="单",VLOOKUP($A$1,换码设置!$A:$C,3,FALSE),0))</f>
        <v>#VALUE!</v>
      </c>
      <c r="BP3" t="e">
        <f>MAX(0,SUM(IF(FREQUENCY(IF((BP7:BP19&gt;0)*($G7:$G19&lt;&gt;""),MATCH($G7:$G19,$G7:$G19,0)),ROW($G7:$G19)-ROW($G7)+1)&gt;0,1))-1)*IF(BP2="双",VLOOKUP($A$1,换码设置!$A:$C,2,FALSE),IF(BP2="单",VLOOKUP($A$1,换码设置!$A:$C,3,FALSE),0))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7" customHeight="1">
      <c r="F5" s="100"/>
      <c r="G5" s="100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s="2" customFormat="1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s="2" customFormat="1" ht="15.5" customHeight="1">
      <c r="A7" s="19" t="s">
        <v>269</v>
      </c>
      <c r="B7" s="19" t="s">
        <v>270</v>
      </c>
      <c r="C7" s="19"/>
      <c r="D7" s="50" t="s">
        <v>271</v>
      </c>
      <c r="E7" s="21" t="s">
        <v>272</v>
      </c>
      <c r="F7" s="19">
        <v>16</v>
      </c>
      <c r="G7" s="19">
        <v>4</v>
      </c>
      <c r="H7" s="36">
        <v>46095</v>
      </c>
      <c r="I7" s="36">
        <v>46142</v>
      </c>
      <c r="J7" s="19">
        <v>2345</v>
      </c>
      <c r="K7" s="19" t="e">
        <f t="shared" ref="K7:K19" si="2">F6*G6*J6</f>
        <v>#VALUE!</v>
      </c>
      <c r="L7" s="19">
        <v>0</v>
      </c>
      <c r="M7" s="24">
        <v>1841</v>
      </c>
      <c r="N7" s="24">
        <v>504</v>
      </c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</row>
    <row r="8" spans="1:68" ht="15.5" customHeight="1">
      <c r="A8" s="19" t="s">
        <v>273</v>
      </c>
      <c r="B8" s="19" t="s">
        <v>47</v>
      </c>
      <c r="C8" s="19"/>
      <c r="D8" s="19" t="s">
        <v>274</v>
      </c>
      <c r="E8" s="21" t="s">
        <v>275</v>
      </c>
      <c r="F8" s="19">
        <v>32</v>
      </c>
      <c r="G8" s="19">
        <v>4</v>
      </c>
      <c r="H8" s="36">
        <v>46091</v>
      </c>
      <c r="I8" s="36">
        <v>46147</v>
      </c>
      <c r="J8" s="19">
        <v>300</v>
      </c>
      <c r="K8" s="25">
        <f t="shared" si="2"/>
        <v>150080</v>
      </c>
      <c r="L8" s="19">
        <v>0</v>
      </c>
      <c r="M8" s="24"/>
      <c r="N8" s="24"/>
      <c r="O8" s="24"/>
      <c r="P8" s="24"/>
      <c r="Q8" s="24"/>
      <c r="R8" s="24"/>
      <c r="S8" s="24">
        <v>300</v>
      </c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</row>
    <row r="9" spans="1:68" s="2" customFormat="1" ht="16" customHeight="1">
      <c r="A9" s="19" t="s">
        <v>276</v>
      </c>
      <c r="B9" s="19" t="s">
        <v>277</v>
      </c>
      <c r="C9" s="19"/>
      <c r="D9" s="19" t="s">
        <v>278</v>
      </c>
      <c r="E9" s="21" t="s">
        <v>279</v>
      </c>
      <c r="F9" s="19">
        <v>14</v>
      </c>
      <c r="G9" s="19">
        <v>6</v>
      </c>
      <c r="H9" s="36">
        <v>6</v>
      </c>
      <c r="I9" s="36">
        <v>46096</v>
      </c>
      <c r="J9" s="19">
        <v>450</v>
      </c>
      <c r="K9" s="25">
        <f t="shared" si="2"/>
        <v>38400</v>
      </c>
      <c r="L9" s="25">
        <v>0</v>
      </c>
      <c r="M9" s="28"/>
      <c r="N9" s="28">
        <v>450</v>
      </c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s="2" customFormat="1" ht="15.5" customHeight="1">
      <c r="A10" s="19" t="s">
        <v>280</v>
      </c>
      <c r="B10" s="19" t="s">
        <v>47</v>
      </c>
      <c r="C10" s="19"/>
      <c r="D10" s="19" t="s">
        <v>281</v>
      </c>
      <c r="E10" s="21" t="s">
        <v>282</v>
      </c>
      <c r="F10" s="19">
        <v>32</v>
      </c>
      <c r="G10" s="19">
        <v>4</v>
      </c>
      <c r="H10" s="36">
        <v>46091</v>
      </c>
      <c r="I10" s="36">
        <v>46157</v>
      </c>
      <c r="J10" s="19">
        <v>750</v>
      </c>
      <c r="K10" s="25">
        <f t="shared" si="2"/>
        <v>37800</v>
      </c>
      <c r="L10" s="19">
        <v>0</v>
      </c>
      <c r="M10" s="24"/>
      <c r="N10" s="24">
        <v>373</v>
      </c>
      <c r="O10" s="24">
        <v>377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</row>
    <row r="11" spans="1:68" ht="15.5" customHeight="1">
      <c r="A11" s="19" t="s">
        <v>283</v>
      </c>
      <c r="B11" s="19" t="s">
        <v>47</v>
      </c>
      <c r="C11" s="19"/>
      <c r="D11" s="19" t="s">
        <v>284</v>
      </c>
      <c r="E11" s="21" t="s">
        <v>285</v>
      </c>
      <c r="F11" s="19">
        <v>32</v>
      </c>
      <c r="G11" s="19">
        <v>4</v>
      </c>
      <c r="H11" s="36">
        <v>46091</v>
      </c>
      <c r="I11" s="36">
        <v>46157</v>
      </c>
      <c r="J11" s="19">
        <v>450</v>
      </c>
      <c r="K11" s="25">
        <f t="shared" si="2"/>
        <v>96000</v>
      </c>
      <c r="L11" s="19">
        <v>0</v>
      </c>
      <c r="M11" s="24"/>
      <c r="N11" s="24"/>
      <c r="O11" s="24">
        <v>450</v>
      </c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</row>
    <row r="12" spans="1:68" s="2" customFormat="1" ht="14" customHeight="1">
      <c r="A12" s="19" t="s">
        <v>286</v>
      </c>
      <c r="B12" s="19" t="s">
        <v>277</v>
      </c>
      <c r="C12" s="19"/>
      <c r="D12" s="19" t="s">
        <v>287</v>
      </c>
      <c r="E12" s="21" t="s">
        <v>288</v>
      </c>
      <c r="F12" s="19">
        <v>30</v>
      </c>
      <c r="G12" s="19">
        <v>4</v>
      </c>
      <c r="H12" s="36">
        <v>4</v>
      </c>
      <c r="I12" s="36">
        <v>46096</v>
      </c>
      <c r="J12" s="19">
        <v>250</v>
      </c>
      <c r="K12" s="25">
        <f t="shared" si="2"/>
        <v>57600</v>
      </c>
      <c r="L12" s="25">
        <v>0</v>
      </c>
      <c r="M12" s="28"/>
      <c r="N12" s="28"/>
      <c r="O12" s="28">
        <v>100</v>
      </c>
      <c r="P12" s="28">
        <v>150</v>
      </c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s="2" customFormat="1" ht="15.5" customHeight="1">
      <c r="A13" s="19" t="s">
        <v>286</v>
      </c>
      <c r="B13" s="19" t="s">
        <v>47</v>
      </c>
      <c r="C13" s="19"/>
      <c r="D13" s="19" t="s">
        <v>289</v>
      </c>
      <c r="E13" s="21" t="s">
        <v>288</v>
      </c>
      <c r="F13" s="19">
        <v>30</v>
      </c>
      <c r="G13" s="19">
        <v>4</v>
      </c>
      <c r="H13" s="36">
        <v>46091</v>
      </c>
      <c r="I13" s="36">
        <v>46157</v>
      </c>
      <c r="J13" s="19">
        <v>350</v>
      </c>
      <c r="K13" s="25">
        <f t="shared" si="2"/>
        <v>30000</v>
      </c>
      <c r="L13" s="19">
        <v>0</v>
      </c>
      <c r="M13" s="24"/>
      <c r="N13" s="24"/>
      <c r="O13" s="24"/>
      <c r="P13" s="24">
        <v>350</v>
      </c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</row>
    <row r="14" spans="1:68" s="2" customFormat="1" ht="15.5" customHeight="1">
      <c r="A14" s="19" t="s">
        <v>290</v>
      </c>
      <c r="B14" s="19" t="s">
        <v>47</v>
      </c>
      <c r="C14" s="19"/>
      <c r="D14" s="19" t="s">
        <v>291</v>
      </c>
      <c r="E14" s="21" t="s">
        <v>292</v>
      </c>
      <c r="F14" s="19">
        <v>30</v>
      </c>
      <c r="G14" s="19">
        <v>4</v>
      </c>
      <c r="H14" s="36">
        <v>46091</v>
      </c>
      <c r="I14" s="36">
        <v>46157</v>
      </c>
      <c r="J14" s="19">
        <v>900</v>
      </c>
      <c r="K14" s="25">
        <f t="shared" si="2"/>
        <v>42000</v>
      </c>
      <c r="L14" s="19">
        <v>0</v>
      </c>
      <c r="M14" s="24"/>
      <c r="N14" s="24"/>
      <c r="O14" s="24"/>
      <c r="P14" s="24">
        <v>482</v>
      </c>
      <c r="Q14" s="24"/>
      <c r="R14" s="24">
        <v>418</v>
      </c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</row>
    <row r="15" spans="1:68" ht="17.5" customHeight="1">
      <c r="A15" s="19" t="s">
        <v>293</v>
      </c>
      <c r="B15" s="19" t="s">
        <v>47</v>
      </c>
      <c r="C15" s="19"/>
      <c r="D15" s="19" t="s">
        <v>294</v>
      </c>
      <c r="E15" s="21" t="s">
        <v>295</v>
      </c>
      <c r="F15" s="19">
        <v>30</v>
      </c>
      <c r="G15" s="19">
        <v>4</v>
      </c>
      <c r="H15" s="36">
        <v>46091</v>
      </c>
      <c r="I15" s="36">
        <v>46157</v>
      </c>
      <c r="J15" s="19">
        <v>800</v>
      </c>
      <c r="K15" s="25">
        <f t="shared" si="2"/>
        <v>108000</v>
      </c>
      <c r="L15" s="19">
        <v>0</v>
      </c>
      <c r="M15" s="24"/>
      <c r="N15" s="24"/>
      <c r="O15" s="24"/>
      <c r="P15" s="24"/>
      <c r="Q15" s="24"/>
      <c r="R15" s="24">
        <v>564</v>
      </c>
      <c r="S15" s="24">
        <v>236</v>
      </c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</row>
    <row r="16" spans="1:68" ht="17.5" customHeight="1">
      <c r="A16" s="32" t="s">
        <v>296</v>
      </c>
      <c r="B16" s="32" t="s">
        <v>200</v>
      </c>
      <c r="C16" s="32"/>
      <c r="D16" s="32" t="s">
        <v>297</v>
      </c>
      <c r="E16" s="33" t="s">
        <v>298</v>
      </c>
      <c r="F16" s="32">
        <v>16</v>
      </c>
      <c r="G16" s="32">
        <v>4</v>
      </c>
      <c r="H16" s="34">
        <v>46122</v>
      </c>
      <c r="I16" s="34">
        <v>46157</v>
      </c>
      <c r="J16" s="32">
        <v>750</v>
      </c>
      <c r="K16" s="32">
        <f t="shared" si="2"/>
        <v>96000</v>
      </c>
      <c r="L16" s="32">
        <v>0</v>
      </c>
      <c r="M16" s="28"/>
      <c r="N16" s="28"/>
      <c r="O16" s="28"/>
      <c r="P16" s="28"/>
      <c r="Q16" s="28"/>
      <c r="R16" s="28"/>
      <c r="S16" s="28">
        <v>750</v>
      </c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8" ht="17.5" customHeight="1">
      <c r="A17" s="32" t="s">
        <v>299</v>
      </c>
      <c r="B17" s="32" t="s">
        <v>200</v>
      </c>
      <c r="C17" s="32"/>
      <c r="D17" s="32" t="s">
        <v>300</v>
      </c>
      <c r="E17" s="33" t="s">
        <v>301</v>
      </c>
      <c r="F17" s="32">
        <v>16</v>
      </c>
      <c r="G17" s="32">
        <v>4</v>
      </c>
      <c r="H17" s="34">
        <v>46122</v>
      </c>
      <c r="I17" s="34">
        <v>46157</v>
      </c>
      <c r="J17" s="32">
        <v>700</v>
      </c>
      <c r="K17" s="32">
        <f t="shared" si="2"/>
        <v>48000</v>
      </c>
      <c r="L17" s="32">
        <v>0</v>
      </c>
      <c r="M17" s="28"/>
      <c r="N17" s="28"/>
      <c r="O17" s="28"/>
      <c r="P17" s="28"/>
      <c r="Q17" s="28"/>
      <c r="R17" s="28"/>
      <c r="S17" s="28">
        <v>48</v>
      </c>
      <c r="T17" s="28">
        <v>652</v>
      </c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8" ht="17.5" customHeight="1">
      <c r="A18" s="32" t="s">
        <v>302</v>
      </c>
      <c r="B18" s="32" t="s">
        <v>200</v>
      </c>
      <c r="C18" s="32"/>
      <c r="D18" s="32" t="s">
        <v>303</v>
      </c>
      <c r="E18" s="33" t="s">
        <v>304</v>
      </c>
      <c r="F18" s="32">
        <v>16</v>
      </c>
      <c r="G18" s="32">
        <v>4</v>
      </c>
      <c r="H18" s="34">
        <v>46122</v>
      </c>
      <c r="I18" s="34">
        <v>46162</v>
      </c>
      <c r="J18" s="32">
        <v>700</v>
      </c>
      <c r="K18" s="32">
        <f t="shared" si="2"/>
        <v>44800</v>
      </c>
      <c r="L18" s="32">
        <v>0</v>
      </c>
      <c r="M18" s="28"/>
      <c r="N18" s="28"/>
      <c r="O18" s="28"/>
      <c r="P18" s="28"/>
      <c r="Q18" s="28"/>
      <c r="R18" s="28"/>
      <c r="S18" s="28"/>
      <c r="T18" s="28">
        <v>700</v>
      </c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4" customHeight="1">
      <c r="A19" s="32" t="s">
        <v>305</v>
      </c>
      <c r="B19" s="32" t="s">
        <v>200</v>
      </c>
      <c r="C19" s="32"/>
      <c r="D19" s="32" t="s">
        <v>306</v>
      </c>
      <c r="E19" s="33" t="s">
        <v>307</v>
      </c>
      <c r="F19" s="32">
        <v>16</v>
      </c>
      <c r="G19" s="32">
        <v>4</v>
      </c>
      <c r="H19" s="34">
        <v>46122</v>
      </c>
      <c r="I19" s="34">
        <v>46162</v>
      </c>
      <c r="J19" s="32">
        <v>400</v>
      </c>
      <c r="K19" s="32">
        <f t="shared" si="2"/>
        <v>44800</v>
      </c>
      <c r="L19" s="32">
        <v>0</v>
      </c>
      <c r="M19" s="28"/>
      <c r="N19" s="28"/>
      <c r="O19" s="28"/>
      <c r="P19" s="28"/>
      <c r="Q19" s="28"/>
      <c r="R19" s="28"/>
      <c r="S19" s="28"/>
      <c r="T19" s="28">
        <v>400</v>
      </c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500-000000000000}">
      <formula1>"单,双"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P17"/>
  <sheetViews>
    <sheetView showGridLines="0" zoomScale="70" zoomScaleNormal="70" workbookViewId="0">
      <pane xSplit="12" ySplit="5" topLeftCell="V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14" style="91" customWidth="1"/>
    <col min="3" max="3" width="21.83203125" style="91" customWidth="1"/>
    <col min="4" max="4" width="23" style="91" customWidth="1"/>
    <col min="5" max="5" width="56.5" style="91" customWidth="1"/>
    <col min="6" max="6" width="6.1640625" style="91" customWidth="1"/>
    <col min="7" max="7" width="7" style="91" customWidth="1"/>
    <col min="8" max="8" width="9.6640625" style="3" customWidth="1"/>
    <col min="9" max="9" width="14.1640625" style="3" customWidth="1"/>
    <col min="10" max="10" width="9.6640625" style="91" customWidth="1"/>
    <col min="11" max="11" width="11.83203125" style="91" customWidth="1"/>
    <col min="12" max="12" width="10.83203125" style="91" customWidth="1"/>
    <col min="13" max="13" width="9" style="91" customWidth="1"/>
  </cols>
  <sheetData>
    <row r="1" spans="1:68" s="1" customFormat="1" ht="16.25" customHeight="1">
      <c r="A1" s="99" t="s">
        <v>127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70125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127500</v>
      </c>
      <c r="K2" s="5" t="s">
        <v>137</v>
      </c>
      <c r="L2" s="7" t="e">
        <f>SUM(#REF!)</f>
        <v>#REF!</v>
      </c>
      <c r="M2" s="30" t="s">
        <v>197</v>
      </c>
      <c r="N2" s="30" t="s">
        <v>197</v>
      </c>
      <c r="O2" s="30" t="s">
        <v>197</v>
      </c>
      <c r="P2" s="30" t="s">
        <v>197</v>
      </c>
      <c r="Q2" s="30" t="s">
        <v>197</v>
      </c>
      <c r="R2" s="30" t="s">
        <v>197</v>
      </c>
      <c r="S2" s="30" t="s">
        <v>197</v>
      </c>
      <c r="T2" s="30" t="s">
        <v>197</v>
      </c>
      <c r="U2" s="30" t="s">
        <v>197</v>
      </c>
      <c r="V2" s="30" t="s">
        <v>197</v>
      </c>
      <c r="W2" s="30" t="s">
        <v>197</v>
      </c>
      <c r="X2" s="30" t="s">
        <v>197</v>
      </c>
      <c r="Y2" s="30" t="s">
        <v>197</v>
      </c>
      <c r="Z2" s="30" t="s">
        <v>197</v>
      </c>
      <c r="AA2" s="30" t="s">
        <v>197</v>
      </c>
      <c r="AB2" s="30" t="s">
        <v>197</v>
      </c>
      <c r="AC2" s="30" t="s">
        <v>197</v>
      </c>
      <c r="AD2" s="30" t="s">
        <v>197</v>
      </c>
      <c r="AE2" s="30" t="s">
        <v>197</v>
      </c>
      <c r="AF2" s="30" t="s">
        <v>197</v>
      </c>
      <c r="AG2" s="30" t="s">
        <v>197</v>
      </c>
      <c r="AH2" s="30" t="s">
        <v>197</v>
      </c>
      <c r="AI2" s="30" t="s">
        <v>197</v>
      </c>
      <c r="AJ2" s="30" t="s">
        <v>197</v>
      </c>
      <c r="AK2" s="30" t="s">
        <v>197</v>
      </c>
      <c r="AL2" s="30" t="s">
        <v>197</v>
      </c>
      <c r="AM2" s="30" t="s">
        <v>197</v>
      </c>
      <c r="AN2" s="30" t="s">
        <v>197</v>
      </c>
      <c r="AO2" s="30" t="s">
        <v>197</v>
      </c>
      <c r="AP2" s="30" t="s">
        <v>197</v>
      </c>
      <c r="AQ2" s="30" t="s">
        <v>197</v>
      </c>
      <c r="AR2" s="30" t="s">
        <v>197</v>
      </c>
      <c r="AS2" s="30" t="s">
        <v>197</v>
      </c>
      <c r="AT2" s="30" t="s">
        <v>197</v>
      </c>
      <c r="AU2" s="30" t="s">
        <v>197</v>
      </c>
      <c r="AV2" s="30" t="s">
        <v>197</v>
      </c>
      <c r="AW2" s="30" t="s">
        <v>197</v>
      </c>
      <c r="AX2" s="30" t="s">
        <v>197</v>
      </c>
      <c r="AY2" s="30" t="s">
        <v>197</v>
      </c>
      <c r="AZ2" s="30" t="s">
        <v>197</v>
      </c>
      <c r="BA2" s="30" t="s">
        <v>197</v>
      </c>
      <c r="BB2" s="30" t="s">
        <v>197</v>
      </c>
      <c r="BC2" s="30" t="s">
        <v>197</v>
      </c>
      <c r="BD2" s="30" t="s">
        <v>197</v>
      </c>
      <c r="BE2" s="30" t="s">
        <v>197</v>
      </c>
      <c r="BF2" s="30" t="s">
        <v>197</v>
      </c>
      <c r="BG2" s="30" t="s">
        <v>197</v>
      </c>
      <c r="BH2" s="30" t="s">
        <v>197</v>
      </c>
      <c r="BI2" s="30" t="s">
        <v>197</v>
      </c>
      <c r="BJ2" s="30" t="s">
        <v>197</v>
      </c>
      <c r="BK2" s="30" t="s">
        <v>197</v>
      </c>
      <c r="BL2" s="30" t="s">
        <v>197</v>
      </c>
      <c r="BM2" s="30" t="s">
        <v>197</v>
      </c>
      <c r="BN2" s="30" t="s">
        <v>197</v>
      </c>
      <c r="BO2" s="30" t="s">
        <v>197</v>
      </c>
      <c r="BP2" s="30" t="s">
        <v>197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MAX(0,SUM(IF(FREQUENCY(IF((M7:M17&gt;0)*($G7:$G17&lt;&gt;""),MATCH($G7:$G17,$G7:$G17,0)),ROW($G7:$G17)-ROW($G7)+1)&gt;0,1))-1)*IF(M2="双",VLOOKUP($A$1,换码设置!$A:$C,2,FALSE),IF(M2="单",VLOOKUP($A$1,换码设置!$A:$C,3,FALSE),0))</f>
        <v>#VALUE!</v>
      </c>
      <c r="N3" t="e">
        <f>MAX(0,SUM(IF(FREQUENCY(IF((N7:N17&gt;0)*($G7:$G17&lt;&gt;""),MATCH($G7:$G17,$G7:$G17,0)),ROW($G7:$G17)-ROW($G7)+1)&gt;0,1))-1)*IF(N2="双",VLOOKUP($A$1,换码设置!$A:$C,2,FALSE),IF(N2="单",VLOOKUP($A$1,换码设置!$A:$C,3,FALSE),0))</f>
        <v>#VALUE!</v>
      </c>
      <c r="O3" t="e">
        <f>MAX(0,SUM(IF(FREQUENCY(IF((O7:O17&gt;0)*($G7:$G17&lt;&gt;""),MATCH($G7:$G17,$G7:$G17,0)),ROW($G7:$G17)-ROW($G7)+1)&gt;0,1))-1)*IF(O2="双",VLOOKUP($A$1,换码设置!$A:$C,2,FALSE),IF(O2="单",VLOOKUP($A$1,换码设置!$A:$C,3,FALSE),0))</f>
        <v>#VALUE!</v>
      </c>
      <c r="P3" t="e">
        <f>MAX(0,SUM(IF(FREQUENCY(IF((P7:P17&gt;0)*($G7:$G17&lt;&gt;""),MATCH($G7:$G17,$G7:$G17,0)),ROW($G7:$G17)-ROW($G7)+1)&gt;0,1))-1)*IF(P2="双",VLOOKUP($A$1,换码设置!$A:$C,2,FALSE),IF(P2="单",VLOOKUP($A$1,换码设置!$A:$C,3,FALSE),0))</f>
        <v>#VALUE!</v>
      </c>
      <c r="Q3" t="e">
        <f>MAX(0,SUM(IF(FREQUENCY(IF((Q7:Q17&gt;0)*($G7:$G17&lt;&gt;""),MATCH($G7:$G17,$G7:$G17,0)),ROW($G7:$G17)-ROW($G7)+1)&gt;0,1))-1)*IF(Q2="双",VLOOKUP($A$1,换码设置!$A:$C,2,FALSE),IF(Q2="单",VLOOKUP($A$1,换码设置!$A:$C,3,FALSE),0))</f>
        <v>#VALUE!</v>
      </c>
      <c r="R3" t="e">
        <f>MAX(0,SUM(IF(FREQUENCY(IF((R7:R17&gt;0)*($G7:$G17&lt;&gt;""),MATCH($G7:$G17,$G7:$G17,0)),ROW($G7:$G17)-ROW($G7)+1)&gt;0,1))-1)*IF(R2="双",VLOOKUP($A$1,换码设置!$A:$C,2,FALSE),IF(R2="单",VLOOKUP($A$1,换码设置!$A:$C,3,FALSE),0))</f>
        <v>#VALUE!</v>
      </c>
      <c r="S3" t="e">
        <f>MAX(0,SUM(IF(FREQUENCY(IF((S7:S17&gt;0)*($G7:$G17&lt;&gt;""),MATCH($G7:$G17,$G7:$G17,0)),ROW($G7:$G17)-ROW($G7)+1)&gt;0,1))-1)*IF(S2="双",VLOOKUP($A$1,换码设置!$A:$C,2,FALSE),IF(S2="单",VLOOKUP($A$1,换码设置!$A:$C,3,FALSE),0))</f>
        <v>#VALUE!</v>
      </c>
      <c r="T3" t="e">
        <f>MAX(0,SUM(IF(FREQUENCY(IF((T7:T17&gt;0)*($G7:$G17&lt;&gt;""),MATCH($G7:$G17,$G7:$G17,0)),ROW($G7:$G17)-ROW($G7)+1)&gt;0,1))-1)*IF(T2="双",VLOOKUP($A$1,换码设置!$A:$C,2,FALSE),IF(T2="单",VLOOKUP($A$1,换码设置!$A:$C,3,FALSE),0))</f>
        <v>#VALUE!</v>
      </c>
      <c r="U3" t="e">
        <f>MAX(0,SUM(IF(FREQUENCY(IF((U7:U17&gt;0)*($G7:$G17&lt;&gt;""),MATCH($G7:$G17,$G7:$G17,0)),ROW($G7:$G17)-ROW($G7)+1)&gt;0,1))-1)*IF(U2="双",VLOOKUP($A$1,换码设置!$A:$C,2,FALSE),IF(U2="单",VLOOKUP($A$1,换码设置!$A:$C,3,FALSE),0))</f>
        <v>#VALUE!</v>
      </c>
      <c r="V3" t="e">
        <f>MAX(0,SUM(IF(FREQUENCY(IF((V7:V17&gt;0)*($G7:$G17&lt;&gt;""),MATCH($G7:$G17,$G7:$G17,0)),ROW($G7:$G17)-ROW($G7)+1)&gt;0,1))-1)*IF(V2="双",VLOOKUP($A$1,换码设置!$A:$C,2,FALSE),IF(V2="单",VLOOKUP($A$1,换码设置!$A:$C,3,FALSE),0))</f>
        <v>#VALUE!</v>
      </c>
      <c r="W3" t="e">
        <f>MAX(0,SUM(IF(FREQUENCY(IF((W7:W17&gt;0)*($G7:$G17&lt;&gt;""),MATCH($G7:$G17,$G7:$G17,0)),ROW($G7:$G17)-ROW($G7)+1)&gt;0,1))-1)*IF(W2="双",VLOOKUP($A$1,换码设置!$A:$C,2,FALSE),IF(W2="单",VLOOKUP($A$1,换码设置!$A:$C,3,FALSE),0))</f>
        <v>#VALUE!</v>
      </c>
      <c r="X3" t="e">
        <f>MAX(0,SUM(IF(FREQUENCY(IF((X7:X17&gt;0)*($G7:$G17&lt;&gt;""),MATCH($G7:$G17,$G7:$G17,0)),ROW($G7:$G17)-ROW($G7)+1)&gt;0,1))-1)*IF(X2="双",VLOOKUP($A$1,换码设置!$A:$C,2,FALSE),IF(X2="单",VLOOKUP($A$1,换码设置!$A:$C,3,FALSE),0))</f>
        <v>#VALUE!</v>
      </c>
      <c r="Y3" t="e">
        <f>MAX(0,SUM(IF(FREQUENCY(IF((Y7:Y17&gt;0)*($G7:$G17&lt;&gt;""),MATCH($G7:$G17,$G7:$G17,0)),ROW($G7:$G17)-ROW($G7)+1)&gt;0,1))-1)*IF(Y2="双",VLOOKUP($A$1,换码设置!$A:$C,2,FALSE),IF(Y2="单",VLOOKUP($A$1,换码设置!$A:$C,3,FALSE),0))</f>
        <v>#VALUE!</v>
      </c>
      <c r="Z3" t="e">
        <f>MAX(0,SUM(IF(FREQUENCY(IF((Z7:Z17&gt;0)*($G7:$G17&lt;&gt;""),MATCH($G7:$G17,$G7:$G17,0)),ROW($G7:$G17)-ROW($G7)+1)&gt;0,1))-1)*IF(Z2="双",VLOOKUP($A$1,换码设置!$A:$C,2,FALSE),IF(Z2="单",VLOOKUP($A$1,换码设置!$A:$C,3,FALSE),0))</f>
        <v>#VALUE!</v>
      </c>
      <c r="AA3" t="e">
        <f>MAX(0,SUM(IF(FREQUENCY(IF((AA7:AA17&gt;0)*($G7:$G17&lt;&gt;""),MATCH($G7:$G17,$G7:$G17,0)),ROW($G7:$G17)-ROW($G7)+1)&gt;0,1))-1)*IF(AA2="双",VLOOKUP($A$1,换码设置!$A:$C,2,FALSE),IF(AA2="单",VLOOKUP($A$1,换码设置!$A:$C,3,FALSE),0))</f>
        <v>#VALUE!</v>
      </c>
      <c r="AB3" t="e">
        <f>MAX(0,SUM(IF(FREQUENCY(IF((AB7:AB17&gt;0)*($G7:$G17&lt;&gt;""),MATCH($G7:$G17,$G7:$G17,0)),ROW($G7:$G17)-ROW($G7)+1)&gt;0,1))-1)*IF(AB2="双",VLOOKUP($A$1,换码设置!$A:$C,2,FALSE),IF(AB2="单",VLOOKUP($A$1,换码设置!$A:$C,3,FALSE),0))</f>
        <v>#VALUE!</v>
      </c>
      <c r="AC3" t="e">
        <f>MAX(0,SUM(IF(FREQUENCY(IF((AC7:AC17&gt;0)*($G7:$G17&lt;&gt;""),MATCH($G7:$G17,$G7:$G17,0)),ROW($G7:$G17)-ROW($G7)+1)&gt;0,1))-1)*IF(AC2="双",VLOOKUP($A$1,换码设置!$A:$C,2,FALSE),IF(AC2="单",VLOOKUP($A$1,换码设置!$A:$C,3,FALSE),0))</f>
        <v>#VALUE!</v>
      </c>
      <c r="AD3" t="e">
        <f>MAX(0,SUM(IF(FREQUENCY(IF((AD7:AD17&gt;0)*($G7:$G17&lt;&gt;""),MATCH($G7:$G17,$G7:$G17,0)),ROW($G7:$G17)-ROW($G7)+1)&gt;0,1))-1)*IF(AD2="双",VLOOKUP($A$1,换码设置!$A:$C,2,FALSE),IF(AD2="单",VLOOKUP($A$1,换码设置!$A:$C,3,FALSE),0))</f>
        <v>#VALUE!</v>
      </c>
      <c r="AE3" t="e">
        <f>MAX(0,SUM(IF(FREQUENCY(IF((AE7:AE17&gt;0)*($G7:$G17&lt;&gt;""),MATCH($G7:$G17,$G7:$G17,0)),ROW($G7:$G17)-ROW($G7)+1)&gt;0,1))-1)*IF(AE2="双",VLOOKUP($A$1,换码设置!$A:$C,2,FALSE),IF(AE2="单",VLOOKUP($A$1,换码设置!$A:$C,3,FALSE),0))</f>
        <v>#VALUE!</v>
      </c>
      <c r="AF3" t="e">
        <f>MAX(0,SUM(IF(FREQUENCY(IF((AF7:AF17&gt;0)*($G7:$G17&lt;&gt;""),MATCH($G7:$G17,$G7:$G17,0)),ROW($G7:$G17)-ROW($G7)+1)&gt;0,1))-1)*IF(AF2="双",VLOOKUP($A$1,换码设置!$A:$C,2,FALSE),IF(AF2="单",VLOOKUP($A$1,换码设置!$A:$C,3,FALSE),0))</f>
        <v>#VALUE!</v>
      </c>
      <c r="AG3" t="e">
        <f>MAX(0,SUM(IF(FREQUENCY(IF((AG7:AG17&gt;0)*($G7:$G17&lt;&gt;""),MATCH($G7:$G17,$G7:$G17,0)),ROW($G7:$G17)-ROW($G7)+1)&gt;0,1))-1)*IF(AG2="双",VLOOKUP($A$1,换码设置!$A:$C,2,FALSE),IF(AG2="单",VLOOKUP($A$1,换码设置!$A:$C,3,FALSE),0))</f>
        <v>#VALUE!</v>
      </c>
      <c r="AH3" t="e">
        <f>MAX(0,SUM(IF(FREQUENCY(IF((AH7:AH17&gt;0)*($G7:$G17&lt;&gt;""),MATCH($G7:$G17,$G7:$G17,0)),ROW($G7:$G17)-ROW($G7)+1)&gt;0,1))-1)*IF(AH2="双",VLOOKUP($A$1,换码设置!$A:$C,2,FALSE),IF(AH2="单",VLOOKUP($A$1,换码设置!$A:$C,3,FALSE),0))</f>
        <v>#VALUE!</v>
      </c>
      <c r="AI3" t="e">
        <f>MAX(0,SUM(IF(FREQUENCY(IF((AI7:AI17&gt;0)*($G7:$G17&lt;&gt;""),MATCH($G7:$G17,$G7:$G17,0)),ROW($G7:$G17)-ROW($G7)+1)&gt;0,1))-1)*IF(AI2="双",VLOOKUP($A$1,换码设置!$A:$C,2,FALSE),IF(AI2="单",VLOOKUP($A$1,换码设置!$A:$C,3,FALSE),0))</f>
        <v>#VALUE!</v>
      </c>
      <c r="AJ3" t="e">
        <f>MAX(0,SUM(IF(FREQUENCY(IF((AJ7:AJ17&gt;0)*($G7:$G17&lt;&gt;""),MATCH($G7:$G17,$G7:$G17,0)),ROW($G7:$G17)-ROW($G7)+1)&gt;0,1))-1)*IF(AJ2="双",VLOOKUP($A$1,换码设置!$A:$C,2,FALSE),IF(AJ2="单",VLOOKUP($A$1,换码设置!$A:$C,3,FALSE),0))</f>
        <v>#VALUE!</v>
      </c>
      <c r="AK3" t="e">
        <f>MAX(0,SUM(IF(FREQUENCY(IF((AK7:AK17&gt;0)*($G7:$G17&lt;&gt;""),MATCH($G7:$G17,$G7:$G17,0)),ROW($G7:$G17)-ROW($G7)+1)&gt;0,1))-1)*IF(AK2="双",VLOOKUP($A$1,换码设置!$A:$C,2,FALSE),IF(AK2="单",VLOOKUP($A$1,换码设置!$A:$C,3,FALSE),0))</f>
        <v>#VALUE!</v>
      </c>
      <c r="AL3" t="e">
        <f>MAX(0,SUM(IF(FREQUENCY(IF((AL7:AL17&gt;0)*($G7:$G17&lt;&gt;""),MATCH($G7:$G17,$G7:$G17,0)),ROW($G7:$G17)-ROW($G7)+1)&gt;0,1))-1)*IF(AL2="双",VLOOKUP($A$1,换码设置!$A:$C,2,FALSE),IF(AL2="单",VLOOKUP($A$1,换码设置!$A:$C,3,FALSE),0))</f>
        <v>#VALUE!</v>
      </c>
      <c r="AM3" t="e">
        <f>MAX(0,SUM(IF(FREQUENCY(IF((AM7:AM17&gt;0)*($G7:$G17&lt;&gt;""),MATCH($G7:$G17,$G7:$G17,0)),ROW($G7:$G17)-ROW($G7)+1)&gt;0,1))-1)*IF(AM2="双",VLOOKUP($A$1,换码设置!$A:$C,2,FALSE),IF(AM2="单",VLOOKUP($A$1,换码设置!$A:$C,3,FALSE),0))</f>
        <v>#VALUE!</v>
      </c>
      <c r="AN3" t="e">
        <f>MAX(0,SUM(IF(FREQUENCY(IF((AN7:AN17&gt;0)*($G7:$G17&lt;&gt;""),MATCH($G7:$G17,$G7:$G17,0)),ROW($G7:$G17)-ROW($G7)+1)&gt;0,1))-1)*IF(AN2="双",VLOOKUP($A$1,换码设置!$A:$C,2,FALSE),IF(AN2="单",VLOOKUP($A$1,换码设置!$A:$C,3,FALSE),0))</f>
        <v>#VALUE!</v>
      </c>
      <c r="AO3" t="e">
        <f>MAX(0,SUM(IF(FREQUENCY(IF((AO7:AO17&gt;0)*($G7:$G17&lt;&gt;""),MATCH($G7:$G17,$G7:$G17,0)),ROW($G7:$G17)-ROW($G7)+1)&gt;0,1))-1)*IF(AO2="双",VLOOKUP($A$1,换码设置!$A:$C,2,FALSE),IF(AO2="单",VLOOKUP($A$1,换码设置!$A:$C,3,FALSE),0))</f>
        <v>#VALUE!</v>
      </c>
      <c r="AP3" t="e">
        <f>MAX(0,SUM(IF(FREQUENCY(IF((AP7:AP17&gt;0)*($G7:$G17&lt;&gt;""),MATCH($G7:$G17,$G7:$G17,0)),ROW($G7:$G17)-ROW($G7)+1)&gt;0,1))-1)*IF(AP2="双",VLOOKUP($A$1,换码设置!$A:$C,2,FALSE),IF(AP2="单",VLOOKUP($A$1,换码设置!$A:$C,3,FALSE),0))</f>
        <v>#VALUE!</v>
      </c>
      <c r="AQ3" t="e">
        <f>MAX(0,SUM(IF(FREQUENCY(IF((AQ7:AQ17&gt;0)*($G7:$G17&lt;&gt;""),MATCH($G7:$G17,$G7:$G17,0)),ROW($G7:$G17)-ROW($G7)+1)&gt;0,1))-1)*IF(AQ2="双",VLOOKUP($A$1,换码设置!$A:$C,2,FALSE),IF(AQ2="单",VLOOKUP($A$1,换码设置!$A:$C,3,FALSE),0))</f>
        <v>#VALUE!</v>
      </c>
      <c r="AR3" t="e">
        <f>MAX(0,SUM(IF(FREQUENCY(IF((AR7:AR17&gt;0)*($G7:$G17&lt;&gt;""),MATCH($G7:$G17,$G7:$G17,0)),ROW($G7:$G17)-ROW($G7)+1)&gt;0,1))-1)*IF(AR2="双",VLOOKUP($A$1,换码设置!$A:$C,2,FALSE),IF(AR2="单",VLOOKUP($A$1,换码设置!$A:$C,3,FALSE),0))</f>
        <v>#VALUE!</v>
      </c>
      <c r="AS3" t="e">
        <f>MAX(0,SUM(IF(FREQUENCY(IF((AS7:AS17&gt;0)*($G7:$G17&lt;&gt;""),MATCH($G7:$G17,$G7:$G17,0)),ROW($G7:$G17)-ROW($G7)+1)&gt;0,1))-1)*IF(AS2="双",VLOOKUP($A$1,换码设置!$A:$C,2,FALSE),IF(AS2="单",VLOOKUP($A$1,换码设置!$A:$C,3,FALSE),0))</f>
        <v>#VALUE!</v>
      </c>
      <c r="AT3" t="e">
        <f>MAX(0,SUM(IF(FREQUENCY(IF((AT7:AT17&gt;0)*($G7:$G17&lt;&gt;""),MATCH($G7:$G17,$G7:$G17,0)),ROW($G7:$G17)-ROW($G7)+1)&gt;0,1))-1)*IF(AT2="双",VLOOKUP($A$1,换码设置!$A:$C,2,FALSE),IF(AT2="单",VLOOKUP($A$1,换码设置!$A:$C,3,FALSE),0))</f>
        <v>#VALUE!</v>
      </c>
      <c r="AU3" t="e">
        <f>MAX(0,SUM(IF(FREQUENCY(IF((AU7:AU17&gt;0)*($G7:$G17&lt;&gt;""),MATCH($G7:$G17,$G7:$G17,0)),ROW($G7:$G17)-ROW($G7)+1)&gt;0,1))-1)*IF(AU2="双",VLOOKUP($A$1,换码设置!$A:$C,2,FALSE),IF(AU2="单",VLOOKUP($A$1,换码设置!$A:$C,3,FALSE),0))</f>
        <v>#VALUE!</v>
      </c>
      <c r="AV3" t="e">
        <f>MAX(0,SUM(IF(FREQUENCY(IF((AV7:AV17&gt;0)*($G7:$G17&lt;&gt;""),MATCH($G7:$G17,$G7:$G17,0)),ROW($G7:$G17)-ROW($G7)+1)&gt;0,1))-1)*IF(AV2="双",VLOOKUP($A$1,换码设置!$A:$C,2,FALSE),IF(AV2="单",VLOOKUP($A$1,换码设置!$A:$C,3,FALSE),0))</f>
        <v>#VALUE!</v>
      </c>
      <c r="AW3" t="e">
        <f>MAX(0,SUM(IF(FREQUENCY(IF((AW7:AW17&gt;0)*($G7:$G17&lt;&gt;""),MATCH($G7:$G17,$G7:$G17,0)),ROW($G7:$G17)-ROW($G7)+1)&gt;0,1))-1)*IF(AW2="双",VLOOKUP($A$1,换码设置!$A:$C,2,FALSE),IF(AW2="单",VLOOKUP($A$1,换码设置!$A:$C,3,FALSE),0))</f>
        <v>#VALUE!</v>
      </c>
      <c r="AX3" t="e">
        <f>MAX(0,SUM(IF(FREQUENCY(IF((AX7:AX17&gt;0)*($G7:$G17&lt;&gt;""),MATCH($G7:$G17,$G7:$G17,0)),ROW($G7:$G17)-ROW($G7)+1)&gt;0,1))-1)*IF(AX2="双",VLOOKUP($A$1,换码设置!$A:$C,2,FALSE),IF(AX2="单",VLOOKUP($A$1,换码设置!$A:$C,3,FALSE),0))</f>
        <v>#VALUE!</v>
      </c>
      <c r="AY3" t="e">
        <f>MAX(0,SUM(IF(FREQUENCY(IF((AY7:AY17&gt;0)*($G7:$G17&lt;&gt;""),MATCH($G7:$G17,$G7:$G17,0)),ROW($G7:$G17)-ROW($G7)+1)&gt;0,1))-1)*IF(AY2="双",VLOOKUP($A$1,换码设置!$A:$C,2,FALSE),IF(AY2="单",VLOOKUP($A$1,换码设置!$A:$C,3,FALSE),0))</f>
        <v>#VALUE!</v>
      </c>
      <c r="AZ3" t="e">
        <f>MAX(0,SUM(IF(FREQUENCY(IF((AZ7:AZ17&gt;0)*($G7:$G17&lt;&gt;""),MATCH($G7:$G17,$G7:$G17,0)),ROW($G7:$G17)-ROW($G7)+1)&gt;0,1))-1)*IF(AZ2="双",VLOOKUP($A$1,换码设置!$A:$C,2,FALSE),IF(AZ2="单",VLOOKUP($A$1,换码设置!$A:$C,3,FALSE),0))</f>
        <v>#VALUE!</v>
      </c>
      <c r="BA3" t="e">
        <f>MAX(0,SUM(IF(FREQUENCY(IF((BA7:BA17&gt;0)*($G7:$G17&lt;&gt;""),MATCH($G7:$G17,$G7:$G17,0)),ROW($G7:$G17)-ROW($G7)+1)&gt;0,1))-1)*IF(BA2="双",VLOOKUP($A$1,换码设置!$A:$C,2,FALSE),IF(BA2="单",VLOOKUP($A$1,换码设置!$A:$C,3,FALSE),0))</f>
        <v>#VALUE!</v>
      </c>
      <c r="BB3" t="e">
        <f>MAX(0,SUM(IF(FREQUENCY(IF((BB7:BB17&gt;0)*($G7:$G17&lt;&gt;""),MATCH($G7:$G17,$G7:$G17,0)),ROW($G7:$G17)-ROW($G7)+1)&gt;0,1))-1)*IF(BB2="双",VLOOKUP($A$1,换码设置!$A:$C,2,FALSE),IF(BB2="单",VLOOKUP($A$1,换码设置!$A:$C,3,FALSE),0))</f>
        <v>#VALUE!</v>
      </c>
      <c r="BC3" t="e">
        <f>MAX(0,SUM(IF(FREQUENCY(IF((BC7:BC17&gt;0)*($G7:$G17&lt;&gt;""),MATCH($G7:$G17,$G7:$G17,0)),ROW($G7:$G17)-ROW($G7)+1)&gt;0,1))-1)*IF(BC2="双",VLOOKUP($A$1,换码设置!$A:$C,2,FALSE),IF(BC2="单",VLOOKUP($A$1,换码设置!$A:$C,3,FALSE),0))</f>
        <v>#VALUE!</v>
      </c>
      <c r="BD3" t="e">
        <f>MAX(0,SUM(IF(FREQUENCY(IF((BD7:BD17&gt;0)*($G7:$G17&lt;&gt;""),MATCH($G7:$G17,$G7:$G17,0)),ROW($G7:$G17)-ROW($G7)+1)&gt;0,1))-1)*IF(BD2="双",VLOOKUP($A$1,换码设置!$A:$C,2,FALSE),IF(BD2="单",VLOOKUP($A$1,换码设置!$A:$C,3,FALSE),0))</f>
        <v>#VALUE!</v>
      </c>
      <c r="BE3" t="e">
        <f>MAX(0,SUM(IF(FREQUENCY(IF((BE7:BE17&gt;0)*($G7:$G17&lt;&gt;""),MATCH($G7:$G17,$G7:$G17,0)),ROW($G7:$G17)-ROW($G7)+1)&gt;0,1))-1)*IF(BE2="双",VLOOKUP($A$1,换码设置!$A:$C,2,FALSE),IF(BE2="单",VLOOKUP($A$1,换码设置!$A:$C,3,FALSE),0))</f>
        <v>#VALUE!</v>
      </c>
      <c r="BF3" t="e">
        <f>MAX(0,SUM(IF(FREQUENCY(IF((BF7:BF17&gt;0)*($G7:$G17&lt;&gt;""),MATCH($G7:$G17,$G7:$G17,0)),ROW($G7:$G17)-ROW($G7)+1)&gt;0,1))-1)*IF(BF2="双",VLOOKUP($A$1,换码设置!$A:$C,2,FALSE),IF(BF2="单",VLOOKUP($A$1,换码设置!$A:$C,3,FALSE),0))</f>
        <v>#VALUE!</v>
      </c>
      <c r="BG3" t="e">
        <f>MAX(0,SUM(IF(FREQUENCY(IF((BG7:BG17&gt;0)*($G7:$G17&lt;&gt;""),MATCH($G7:$G17,$G7:$G17,0)),ROW($G7:$G17)-ROW($G7)+1)&gt;0,1))-1)*IF(BG2="双",VLOOKUP($A$1,换码设置!$A:$C,2,FALSE),IF(BG2="单",VLOOKUP($A$1,换码设置!$A:$C,3,FALSE),0))</f>
        <v>#VALUE!</v>
      </c>
      <c r="BH3" t="e">
        <f>MAX(0,SUM(IF(FREQUENCY(IF((BH7:BH17&gt;0)*($G7:$G17&lt;&gt;""),MATCH($G7:$G17,$G7:$G17,0)),ROW($G7:$G17)-ROW($G7)+1)&gt;0,1))-1)*IF(BH2="双",VLOOKUP($A$1,换码设置!$A:$C,2,FALSE),IF(BH2="单",VLOOKUP($A$1,换码设置!$A:$C,3,FALSE),0))</f>
        <v>#VALUE!</v>
      </c>
      <c r="BI3" t="e">
        <f>MAX(0,SUM(IF(FREQUENCY(IF((BI7:BI17&gt;0)*($G7:$G17&lt;&gt;""),MATCH($G7:$G17,$G7:$G17,0)),ROW($G7:$G17)-ROW($G7)+1)&gt;0,1))-1)*IF(BI2="双",VLOOKUP($A$1,换码设置!$A:$C,2,FALSE),IF(BI2="单",VLOOKUP($A$1,换码设置!$A:$C,3,FALSE),0))</f>
        <v>#VALUE!</v>
      </c>
      <c r="BJ3" t="e">
        <f>MAX(0,SUM(IF(FREQUENCY(IF((BJ7:BJ17&gt;0)*($G7:$G17&lt;&gt;""),MATCH($G7:$G17,$G7:$G17,0)),ROW($G7:$G17)-ROW($G7)+1)&gt;0,1))-1)*IF(BJ2="双",VLOOKUP($A$1,换码设置!$A:$C,2,FALSE),IF(BJ2="单",VLOOKUP($A$1,换码设置!$A:$C,3,FALSE),0))</f>
        <v>#VALUE!</v>
      </c>
      <c r="BK3" t="e">
        <f>MAX(0,SUM(IF(FREQUENCY(IF((BK7:BK17&gt;0)*($G7:$G17&lt;&gt;""),MATCH($G7:$G17,$G7:$G17,0)),ROW($G7:$G17)-ROW($G7)+1)&gt;0,1))-1)*IF(BK2="双",VLOOKUP($A$1,换码设置!$A:$C,2,FALSE),IF(BK2="单",VLOOKUP($A$1,换码设置!$A:$C,3,FALSE),0))</f>
        <v>#VALUE!</v>
      </c>
      <c r="BL3" t="e">
        <f>MAX(0,SUM(IF(FREQUENCY(IF((BL7:BL17&gt;0)*($G7:$G17&lt;&gt;""),MATCH($G7:$G17,$G7:$G17,0)),ROW($G7:$G17)-ROW($G7)+1)&gt;0,1))-1)*IF(BL2="双",VLOOKUP($A$1,换码设置!$A:$C,2,FALSE),IF(BL2="单",VLOOKUP($A$1,换码设置!$A:$C,3,FALSE),0))</f>
        <v>#VALUE!</v>
      </c>
      <c r="BM3" t="e">
        <f>MAX(0,SUM(IF(FREQUENCY(IF((BM7:BM17&gt;0)*($G7:$G17&lt;&gt;""),MATCH($G7:$G17,$G7:$G17,0)),ROW($G7:$G17)-ROW($G7)+1)&gt;0,1))-1)*IF(BM2="双",VLOOKUP($A$1,换码设置!$A:$C,2,FALSE),IF(BM2="单",VLOOKUP($A$1,换码设置!$A:$C,3,FALSE),0))</f>
        <v>#VALUE!</v>
      </c>
      <c r="BN3" t="e">
        <f>MAX(0,SUM(IF(FREQUENCY(IF((BN7:BN17&gt;0)*($G7:$G17&lt;&gt;""),MATCH($G7:$G17,$G7:$G17,0)),ROW($G7:$G17)-ROW($G7)+1)&gt;0,1))-1)*IF(BN2="双",VLOOKUP($A$1,换码设置!$A:$C,2,FALSE),IF(BN2="单",VLOOKUP($A$1,换码设置!$A:$C,3,FALSE),0))</f>
        <v>#VALUE!</v>
      </c>
      <c r="BO3" t="e">
        <f>MAX(0,SUM(IF(FREQUENCY(IF((BO7:BO17&gt;0)*($G7:$G17&lt;&gt;""),MATCH($G7:$G17,$G7:$G17,0)),ROW($G7:$G17)-ROW($G7)+1)&gt;0,1))-1)*IF(BO2="双",VLOOKUP($A$1,换码设置!$A:$C,2,FALSE),IF(BO2="单",VLOOKUP($A$1,换码设置!$A:$C,3,FALSE),0))</f>
        <v>#VALUE!</v>
      </c>
      <c r="BP3" t="e">
        <f>MAX(0,SUM(IF(FREQUENCY(IF((BP7:BP17&gt;0)*($G7:$G17&lt;&gt;""),MATCH($G7:$G17,$G7:$G17,0)),ROW($G7:$G17)-ROW($G7)+1)&gt;0,1))-1)*IF(BP2="双",VLOOKUP($A$1,换码设置!$A:$C,2,FALSE),IF(BP2="单",VLOOKUP($A$1,换码设置!$A:$C,3,FALSE),0))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30">
        <v>46148</v>
      </c>
      <c r="N4" s="30">
        <v>46149</v>
      </c>
      <c r="O4" s="30">
        <v>46150</v>
      </c>
      <c r="P4" s="30">
        <v>46151</v>
      </c>
      <c r="Q4" s="30">
        <v>46152</v>
      </c>
      <c r="R4" s="30">
        <v>46153</v>
      </c>
      <c r="S4" s="30">
        <v>46154</v>
      </c>
      <c r="T4" s="30">
        <v>46155</v>
      </c>
      <c r="U4" s="30">
        <v>46156</v>
      </c>
      <c r="V4" s="30">
        <v>46157</v>
      </c>
      <c r="W4" s="30">
        <v>46158</v>
      </c>
      <c r="X4" s="30">
        <v>46159</v>
      </c>
      <c r="Y4" s="30">
        <v>46160</v>
      </c>
      <c r="Z4" s="30">
        <v>46161</v>
      </c>
      <c r="AA4" s="30">
        <v>46162</v>
      </c>
      <c r="AB4" s="30">
        <v>46163</v>
      </c>
      <c r="AC4" s="30">
        <v>46164</v>
      </c>
      <c r="AD4" s="30">
        <v>46165</v>
      </c>
      <c r="AE4" s="30">
        <v>46166</v>
      </c>
      <c r="AF4" s="30">
        <v>46167</v>
      </c>
      <c r="AG4" s="30">
        <v>46168</v>
      </c>
      <c r="AH4" s="30">
        <v>46169</v>
      </c>
      <c r="AI4" s="30">
        <v>46170</v>
      </c>
      <c r="AJ4" s="30">
        <v>46171</v>
      </c>
      <c r="AK4" s="30">
        <v>46172</v>
      </c>
      <c r="AL4" s="30">
        <v>46173</v>
      </c>
      <c r="AM4" s="30">
        <v>46174</v>
      </c>
      <c r="AN4" s="30">
        <v>46175</v>
      </c>
      <c r="AO4" s="30">
        <v>46176</v>
      </c>
      <c r="AP4" s="30">
        <v>46177</v>
      </c>
      <c r="AQ4" s="30">
        <v>46178</v>
      </c>
      <c r="AR4" s="30">
        <v>46179</v>
      </c>
      <c r="AS4" s="30">
        <v>46180</v>
      </c>
      <c r="AT4" s="30">
        <v>46181</v>
      </c>
      <c r="AU4" s="30">
        <v>46182</v>
      </c>
      <c r="AV4" s="30">
        <v>46183</v>
      </c>
      <c r="AW4" s="30">
        <v>46184</v>
      </c>
      <c r="AX4" s="30">
        <v>46185</v>
      </c>
      <c r="AY4" s="30">
        <v>46186</v>
      </c>
      <c r="AZ4" s="30">
        <v>46187</v>
      </c>
      <c r="BA4" s="30">
        <v>46188</v>
      </c>
      <c r="BB4" s="30">
        <v>46189</v>
      </c>
      <c r="BC4" s="30">
        <v>46190</v>
      </c>
      <c r="BD4" s="30">
        <v>46191</v>
      </c>
      <c r="BE4" s="30">
        <v>46192</v>
      </c>
      <c r="BF4" s="30">
        <v>46193</v>
      </c>
      <c r="BG4" s="30">
        <v>46194</v>
      </c>
      <c r="BH4" s="30">
        <v>46195</v>
      </c>
      <c r="BI4" s="30">
        <v>46196</v>
      </c>
      <c r="BJ4" s="30">
        <v>46197</v>
      </c>
      <c r="BK4" s="30">
        <v>46198</v>
      </c>
      <c r="BL4" s="30">
        <v>46199</v>
      </c>
      <c r="BM4" s="30">
        <v>46200</v>
      </c>
      <c r="BN4" s="30">
        <v>46201</v>
      </c>
      <c r="BO4" s="30">
        <v>46202</v>
      </c>
      <c r="BP4" s="30">
        <v>46203</v>
      </c>
    </row>
    <row r="5" spans="1:68" s="1" customFormat="1" ht="15.5" customHeight="1">
      <c r="F5" s="100"/>
      <c r="G5" s="100"/>
      <c r="I5" s="95"/>
      <c r="J5" s="96"/>
      <c r="K5" s="5" t="s">
        <v>7</v>
      </c>
      <c r="L5" s="9" t="e">
        <f>SUM(L1:L3)</f>
        <v>#REF!</v>
      </c>
      <c r="M5" s="15" t="e">
        <f t="shared" ref="M5:AR5" si="0">IF(M2="单",$J$1,IF(M2="双",$J$2,0))-M3-M6</f>
        <v>#VALUE!</v>
      </c>
      <c r="N5" s="15" t="e">
        <f t="shared" si="0"/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ref="AS5:BP5" si="1">IF(AS2="单",$J$1,IF(AS2="双",$J$2,0))-AS3-AS6</f>
        <v>#VALUE!</v>
      </c>
      <c r="AT5" s="15" t="e">
        <f t="shared" si="1"/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</row>
    <row r="6" spans="1:68" ht="14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</row>
    <row r="7" spans="1:68" ht="15.5" customHeight="1">
      <c r="A7" s="19" t="s">
        <v>308</v>
      </c>
      <c r="B7" s="19"/>
      <c r="C7" s="19"/>
      <c r="D7" s="19" t="s">
        <v>309</v>
      </c>
      <c r="E7" s="21" t="s">
        <v>310</v>
      </c>
      <c r="F7" s="19">
        <v>10</v>
      </c>
      <c r="G7" s="19">
        <v>12</v>
      </c>
      <c r="H7" s="36"/>
      <c r="I7" s="36"/>
      <c r="J7" s="19">
        <v>180</v>
      </c>
      <c r="K7" s="19" t="e">
        <f t="shared" ref="K7:K17" si="2">F6*G6*J6</f>
        <v>#VALUE!</v>
      </c>
      <c r="L7" s="19">
        <v>0</v>
      </c>
      <c r="M7" s="28">
        <v>132</v>
      </c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19" t="s">
        <v>311</v>
      </c>
      <c r="B8" s="19" t="s">
        <v>312</v>
      </c>
      <c r="C8" s="19"/>
      <c r="D8" s="19" t="s">
        <v>313</v>
      </c>
      <c r="E8" s="21" t="s">
        <v>314</v>
      </c>
      <c r="F8" s="19">
        <v>20</v>
      </c>
      <c r="G8" s="19">
        <v>6</v>
      </c>
      <c r="H8" s="36"/>
      <c r="I8" s="36"/>
      <c r="J8" s="19">
        <v>540</v>
      </c>
      <c r="K8" s="19">
        <f t="shared" si="2"/>
        <v>21600</v>
      </c>
      <c r="L8" s="19">
        <v>0</v>
      </c>
      <c r="M8" s="28">
        <v>452</v>
      </c>
      <c r="N8" s="28">
        <v>48</v>
      </c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5.5" customHeight="1">
      <c r="A9" s="19" t="s">
        <v>315</v>
      </c>
      <c r="B9" s="19" t="s">
        <v>316</v>
      </c>
      <c r="C9" s="19"/>
      <c r="D9" s="19" t="s">
        <v>317</v>
      </c>
      <c r="E9" s="21" t="s">
        <v>318</v>
      </c>
      <c r="F9" s="19">
        <v>16</v>
      </c>
      <c r="G9" s="19">
        <v>4</v>
      </c>
      <c r="H9" s="36">
        <v>46101</v>
      </c>
      <c r="I9" s="36">
        <v>46153</v>
      </c>
      <c r="J9" s="19">
        <v>1000</v>
      </c>
      <c r="K9" s="19">
        <f t="shared" si="2"/>
        <v>64800</v>
      </c>
      <c r="L9" s="19">
        <v>0</v>
      </c>
      <c r="M9" s="28"/>
      <c r="N9" s="28">
        <v>1000</v>
      </c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ht="15.5" customHeight="1">
      <c r="A10" s="19" t="s">
        <v>319</v>
      </c>
      <c r="B10" s="19" t="s">
        <v>316</v>
      </c>
      <c r="C10" s="19"/>
      <c r="D10" s="19" t="s">
        <v>320</v>
      </c>
      <c r="E10" s="21" t="s">
        <v>321</v>
      </c>
      <c r="F10" s="19">
        <v>16</v>
      </c>
      <c r="G10" s="19">
        <v>4</v>
      </c>
      <c r="H10" s="36">
        <v>46101</v>
      </c>
      <c r="I10" s="36">
        <v>46153</v>
      </c>
      <c r="J10" s="19">
        <v>500</v>
      </c>
      <c r="K10" s="19">
        <f t="shared" si="2"/>
        <v>64000</v>
      </c>
      <c r="L10" s="19">
        <v>0</v>
      </c>
      <c r="M10" s="28"/>
      <c r="N10" s="28">
        <v>6</v>
      </c>
      <c r="O10" s="28">
        <v>494</v>
      </c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5.5" customHeight="1">
      <c r="A11" s="19" t="s">
        <v>322</v>
      </c>
      <c r="B11" s="19" t="s">
        <v>316</v>
      </c>
      <c r="C11" s="19"/>
      <c r="D11" s="19" t="s">
        <v>323</v>
      </c>
      <c r="E11" s="21" t="s">
        <v>324</v>
      </c>
      <c r="F11" s="19">
        <v>16</v>
      </c>
      <c r="G11" s="19">
        <v>6</v>
      </c>
      <c r="H11" s="36">
        <v>46101</v>
      </c>
      <c r="I11" s="36">
        <v>46153</v>
      </c>
      <c r="J11" s="19">
        <v>1600</v>
      </c>
      <c r="K11" s="19">
        <f t="shared" si="2"/>
        <v>32000</v>
      </c>
      <c r="L11" s="19">
        <v>0</v>
      </c>
      <c r="M11" s="28"/>
      <c r="N11" s="28"/>
      <c r="O11" s="28">
        <v>401</v>
      </c>
      <c r="P11" s="28">
        <v>730</v>
      </c>
      <c r="Q11" s="28"/>
      <c r="R11" s="28">
        <v>469</v>
      </c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ht="16" customHeight="1">
      <c r="A12" s="19" t="s">
        <v>325</v>
      </c>
      <c r="B12" s="19" t="s">
        <v>316</v>
      </c>
      <c r="C12" s="19"/>
      <c r="D12" s="19" t="s">
        <v>326</v>
      </c>
      <c r="E12" s="21" t="s">
        <v>327</v>
      </c>
      <c r="F12" s="19">
        <v>16</v>
      </c>
      <c r="G12" s="19">
        <v>8</v>
      </c>
      <c r="H12" s="36">
        <v>46101</v>
      </c>
      <c r="I12" s="36">
        <v>46153</v>
      </c>
      <c r="J12" s="19">
        <v>300</v>
      </c>
      <c r="K12" s="19">
        <f t="shared" si="2"/>
        <v>153600</v>
      </c>
      <c r="L12" s="19">
        <v>0</v>
      </c>
      <c r="M12" s="28"/>
      <c r="N12" s="28"/>
      <c r="O12" s="28"/>
      <c r="P12" s="28"/>
      <c r="Q12" s="28"/>
      <c r="R12" s="28">
        <v>196</v>
      </c>
      <c r="S12" s="28">
        <v>104</v>
      </c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ht="17.5" customHeight="1">
      <c r="A13" s="35" t="s">
        <v>328</v>
      </c>
      <c r="B13" s="35"/>
      <c r="C13" s="35" t="s">
        <v>233</v>
      </c>
      <c r="D13" s="35" t="s">
        <v>329</v>
      </c>
      <c r="E13" s="21" t="s">
        <v>330</v>
      </c>
      <c r="F13" s="19">
        <v>10</v>
      </c>
      <c r="G13" s="19">
        <v>12</v>
      </c>
      <c r="H13" s="36">
        <v>46136</v>
      </c>
      <c r="I13" s="23">
        <v>46166</v>
      </c>
      <c r="J13" s="19">
        <v>420</v>
      </c>
      <c r="K13" s="19">
        <f t="shared" si="2"/>
        <v>38400</v>
      </c>
      <c r="L13" s="47">
        <v>0</v>
      </c>
      <c r="M13" s="28"/>
      <c r="N13" s="28"/>
      <c r="O13" s="28"/>
      <c r="P13" s="28"/>
      <c r="Q13" s="28"/>
      <c r="R13" s="28"/>
      <c r="S13" s="28">
        <v>420</v>
      </c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  <row r="14" spans="1:68" ht="17.5" customHeight="1">
      <c r="A14" s="35" t="s">
        <v>328</v>
      </c>
      <c r="B14" s="35"/>
      <c r="C14" s="35"/>
      <c r="D14" s="35" t="s">
        <v>331</v>
      </c>
      <c r="E14" s="21" t="s">
        <v>330</v>
      </c>
      <c r="F14" s="19">
        <v>10</v>
      </c>
      <c r="G14" s="19">
        <v>12</v>
      </c>
      <c r="H14" s="36">
        <v>46139</v>
      </c>
      <c r="I14" s="23">
        <v>46169</v>
      </c>
      <c r="J14" s="19">
        <v>400</v>
      </c>
      <c r="K14" s="19">
        <f t="shared" si="2"/>
        <v>50400</v>
      </c>
      <c r="L14" s="47">
        <v>0</v>
      </c>
      <c r="M14" s="28"/>
      <c r="N14" s="28"/>
      <c r="O14" s="28"/>
      <c r="P14" s="28"/>
      <c r="Q14" s="28"/>
      <c r="R14" s="28"/>
      <c r="S14" s="28">
        <v>53</v>
      </c>
      <c r="T14" s="28">
        <v>347</v>
      </c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  <row r="15" spans="1:68" ht="17.5" customHeight="1">
      <c r="A15" s="35" t="s">
        <v>311</v>
      </c>
      <c r="B15" s="35"/>
      <c r="C15" s="35" t="s">
        <v>312</v>
      </c>
      <c r="D15" s="35" t="s">
        <v>332</v>
      </c>
      <c r="E15" s="21" t="s">
        <v>314</v>
      </c>
      <c r="F15" s="19">
        <v>20</v>
      </c>
      <c r="G15" s="19">
        <v>6</v>
      </c>
      <c r="H15" s="36">
        <v>46139</v>
      </c>
      <c r="I15" s="23">
        <v>46169</v>
      </c>
      <c r="J15" s="19">
        <v>760</v>
      </c>
      <c r="K15" s="19">
        <f t="shared" si="2"/>
        <v>48000</v>
      </c>
      <c r="L15" s="47">
        <v>0</v>
      </c>
      <c r="M15" s="28"/>
      <c r="N15" s="28"/>
      <c r="O15" s="28"/>
      <c r="P15" s="28"/>
      <c r="Q15" s="28"/>
      <c r="R15" s="28"/>
      <c r="S15" s="28"/>
      <c r="T15" s="28">
        <v>237</v>
      </c>
      <c r="U15" s="28">
        <v>563</v>
      </c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</row>
    <row r="16" spans="1:68" ht="15.5" customHeight="1">
      <c r="A16" s="35" t="s">
        <v>333</v>
      </c>
      <c r="B16" s="35"/>
      <c r="C16" s="35"/>
      <c r="D16" s="35" t="s">
        <v>334</v>
      </c>
      <c r="E16" s="21" t="s">
        <v>335</v>
      </c>
      <c r="F16" s="19">
        <v>20</v>
      </c>
      <c r="G16" s="19">
        <v>6</v>
      </c>
      <c r="H16" s="36">
        <v>46139</v>
      </c>
      <c r="I16" s="23">
        <v>46169</v>
      </c>
      <c r="J16" s="19">
        <v>200</v>
      </c>
      <c r="K16" s="19">
        <f t="shared" si="2"/>
        <v>91200</v>
      </c>
      <c r="L16" s="47">
        <v>0</v>
      </c>
      <c r="M16" s="28"/>
      <c r="N16" s="28"/>
      <c r="O16" s="28"/>
      <c r="P16" s="28"/>
      <c r="Q16" s="28"/>
      <c r="R16" s="28"/>
      <c r="S16" s="28"/>
      <c r="T16" s="28"/>
      <c r="U16" s="28">
        <v>21</v>
      </c>
      <c r="V16" s="28">
        <v>179</v>
      </c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8" ht="20" customHeight="1">
      <c r="A17" s="19" t="s">
        <v>308</v>
      </c>
      <c r="B17" s="19"/>
      <c r="C17" s="19"/>
      <c r="D17" s="19"/>
      <c r="E17" s="21" t="s">
        <v>310</v>
      </c>
      <c r="F17" s="19">
        <v>10</v>
      </c>
      <c r="G17" s="19">
        <v>12</v>
      </c>
      <c r="H17" s="36"/>
      <c r="I17" s="36"/>
      <c r="J17" s="19">
        <v>610</v>
      </c>
      <c r="K17" s="19">
        <f t="shared" si="2"/>
        <v>24000</v>
      </c>
      <c r="L17" s="19">
        <v>0</v>
      </c>
      <c r="M17" s="28"/>
      <c r="N17" s="28"/>
      <c r="O17" s="28"/>
      <c r="P17" s="28"/>
      <c r="Q17" s="28"/>
      <c r="R17" s="28"/>
      <c r="S17" s="28"/>
      <c r="T17" s="28"/>
      <c r="U17" s="28"/>
      <c r="V17" s="28">
        <v>132</v>
      </c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6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P20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6" style="91" customWidth="1"/>
    <col min="2" max="2" width="18.33203125" style="91" customWidth="1"/>
    <col min="3" max="3" width="23.83203125" style="91" customWidth="1"/>
    <col min="4" max="4" width="19.1640625" style="3" customWidth="1"/>
    <col min="5" max="5" width="68" style="91" customWidth="1"/>
    <col min="6" max="6" width="6.5" style="91" customWidth="1"/>
    <col min="7" max="7" width="6.83203125" style="91" customWidth="1"/>
    <col min="8" max="8" width="11.83203125" style="3" customWidth="1"/>
    <col min="9" max="9" width="14.1640625" style="3" customWidth="1"/>
    <col min="10" max="10" width="9.6640625" style="91" customWidth="1"/>
    <col min="11" max="11" width="11.6640625" style="91" customWidth="1"/>
    <col min="12" max="12" width="12.83203125" style="91" customWidth="1"/>
    <col min="13" max="38" width="9" style="91" customWidth="1"/>
  </cols>
  <sheetData>
    <row r="1" spans="1:68" s="1" customFormat="1" ht="16.25" customHeight="1">
      <c r="A1" s="99" t="s">
        <v>128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70125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127500</v>
      </c>
      <c r="K2" s="5" t="s">
        <v>137</v>
      </c>
      <c r="L2" s="7" t="e">
        <f>SUM(#REF!)</f>
        <v>#REF!</v>
      </c>
      <c r="M2" s="46" t="s">
        <v>197</v>
      </c>
      <c r="N2" s="46" t="s">
        <v>197</v>
      </c>
      <c r="O2" s="46" t="s">
        <v>197</v>
      </c>
      <c r="P2" s="46" t="s">
        <v>197</v>
      </c>
      <c r="Q2" s="46" t="s">
        <v>197</v>
      </c>
      <c r="R2" s="46" t="s">
        <v>197</v>
      </c>
      <c r="S2" s="46" t="s">
        <v>197</v>
      </c>
      <c r="T2" s="46" t="s">
        <v>197</v>
      </c>
      <c r="U2" s="46" t="s">
        <v>197</v>
      </c>
      <c r="V2" s="46" t="s">
        <v>197</v>
      </c>
      <c r="W2" s="46" t="s">
        <v>197</v>
      </c>
      <c r="X2" s="46" t="s">
        <v>197</v>
      </c>
      <c r="Y2" s="46" t="s">
        <v>197</v>
      </c>
      <c r="Z2" s="46" t="s">
        <v>197</v>
      </c>
      <c r="AA2" s="46" t="s">
        <v>197</v>
      </c>
      <c r="AB2" s="46" t="s">
        <v>197</v>
      </c>
      <c r="AC2" s="46" t="s">
        <v>197</v>
      </c>
      <c r="AD2" s="46" t="s">
        <v>197</v>
      </c>
      <c r="AE2" s="46" t="s">
        <v>197</v>
      </c>
      <c r="AF2" s="46" t="s">
        <v>197</v>
      </c>
      <c r="AG2" s="46" t="s">
        <v>197</v>
      </c>
      <c r="AH2" s="46" t="s">
        <v>197</v>
      </c>
      <c r="AI2" s="46" t="s">
        <v>197</v>
      </c>
      <c r="AJ2" s="46" t="s">
        <v>197</v>
      </c>
      <c r="AK2" s="46" t="s">
        <v>197</v>
      </c>
      <c r="AL2" s="46" t="s">
        <v>197</v>
      </c>
      <c r="AM2" s="46" t="s">
        <v>197</v>
      </c>
      <c r="AN2" s="46" t="s">
        <v>197</v>
      </c>
      <c r="AO2" s="46" t="s">
        <v>197</v>
      </c>
      <c r="AP2" s="46" t="s">
        <v>197</v>
      </c>
      <c r="AQ2" s="46" t="s">
        <v>197</v>
      </c>
      <c r="AR2" s="46" t="s">
        <v>197</v>
      </c>
      <c r="AS2" s="46" t="s">
        <v>197</v>
      </c>
      <c r="AT2" s="46" t="s">
        <v>197</v>
      </c>
      <c r="AU2" s="46" t="s">
        <v>197</v>
      </c>
      <c r="AV2" s="46" t="s">
        <v>197</v>
      </c>
      <c r="AW2" s="46" t="s">
        <v>197</v>
      </c>
      <c r="AX2" s="46" t="s">
        <v>197</v>
      </c>
      <c r="AY2" s="46" t="s">
        <v>197</v>
      </c>
      <c r="AZ2" s="46" t="s">
        <v>197</v>
      </c>
      <c r="BA2" s="46" t="s">
        <v>197</v>
      </c>
      <c r="BB2" s="46" t="s">
        <v>197</v>
      </c>
      <c r="BC2" s="46" t="s">
        <v>197</v>
      </c>
      <c r="BD2" s="46" t="s">
        <v>197</v>
      </c>
      <c r="BE2" s="46" t="s">
        <v>197</v>
      </c>
      <c r="BF2" s="46" t="s">
        <v>197</v>
      </c>
      <c r="BG2" s="46" t="s">
        <v>197</v>
      </c>
      <c r="BH2" s="46" t="s">
        <v>197</v>
      </c>
      <c r="BI2" s="46" t="s">
        <v>197</v>
      </c>
      <c r="BJ2" s="46" t="s">
        <v>197</v>
      </c>
      <c r="BK2" s="46" t="s">
        <v>197</v>
      </c>
      <c r="BL2" s="46" t="s">
        <v>197</v>
      </c>
      <c r="BM2" s="46" t="s">
        <v>197</v>
      </c>
      <c r="BN2" s="46" t="s">
        <v>197</v>
      </c>
      <c r="BO2" s="46" t="s">
        <v>197</v>
      </c>
      <c r="BP2" s="46" t="s">
        <v>197</v>
      </c>
    </row>
    <row r="3" spans="1:68" s="1" customFormat="1" ht="16.25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MAX(0,SUM(IF(FREQUENCY(IF((M7:M20&gt;0)*($G7:$G20&lt;&gt;""),MATCH($G7:$G20,$G7:$G20,0)),ROW($G7:$G20)-ROW($G7)+1)&gt;0,1))-1)*IF(M2="双",VLOOKUP($A$1,换码设置!$A:$C,2,FALSE),IF(M2="单",VLOOKUP($A$1,换码设置!$A:$C,3,FALSE),0))</f>
        <v>#VALUE!</v>
      </c>
      <c r="N3" t="e">
        <f>MAX(0,SUM(IF(FREQUENCY(IF((N7:N20&gt;0)*($G7:$G20&lt;&gt;""),MATCH($G7:$G20,$G7:$G20,0)),ROW($G7:$G20)-ROW($G7)+1)&gt;0,1))-1)*IF(N2="双",VLOOKUP($A$1,换码设置!$A:$C,2,FALSE),IF(N2="单",VLOOKUP($A$1,换码设置!$A:$C,3,FALSE),0))</f>
        <v>#VALUE!</v>
      </c>
      <c r="O3" t="e">
        <f>MAX(0,SUM(IF(FREQUENCY(IF((O7:O20&gt;0)*($G7:$G20&lt;&gt;""),MATCH($G7:$G20,$G7:$G20,0)),ROW($G7:$G20)-ROW($G7)+1)&gt;0,1))-1)*IF(O2="双",VLOOKUP($A$1,换码设置!$A:$C,2,FALSE),IF(O2="单",VLOOKUP($A$1,换码设置!$A:$C,3,FALSE),0))</f>
        <v>#VALUE!</v>
      </c>
      <c r="P3" t="e">
        <f>MAX(0,SUM(IF(FREQUENCY(IF((P7:P20&gt;0)*($G7:$G20&lt;&gt;""),MATCH($G7:$G20,$G7:$G20,0)),ROW($G7:$G20)-ROW($G7)+1)&gt;0,1))-1)*IF(P2="双",VLOOKUP($A$1,换码设置!$A:$C,2,FALSE),IF(P2="单",VLOOKUP($A$1,换码设置!$A:$C,3,FALSE),0))</f>
        <v>#VALUE!</v>
      </c>
      <c r="Q3" t="e">
        <f>MAX(0,SUM(IF(FREQUENCY(IF((Q7:Q20&gt;0)*($G7:$G20&lt;&gt;""),MATCH($G7:$G20,$G7:$G20,0)),ROW($G7:$G20)-ROW($G7)+1)&gt;0,1))-1)*IF(Q2="双",VLOOKUP($A$1,换码设置!$A:$C,2,FALSE),IF(Q2="单",VLOOKUP($A$1,换码设置!$A:$C,3,FALSE),0))</f>
        <v>#VALUE!</v>
      </c>
      <c r="R3" t="e">
        <f>MAX(0,SUM(IF(FREQUENCY(IF((R7:R20&gt;0)*($G7:$G20&lt;&gt;""),MATCH($G7:$G20,$G7:$G20,0)),ROW($G7:$G20)-ROW($G7)+1)&gt;0,1))-1)*IF(R2="双",VLOOKUP($A$1,换码设置!$A:$C,2,FALSE),IF(R2="单",VLOOKUP($A$1,换码设置!$A:$C,3,FALSE),0))</f>
        <v>#VALUE!</v>
      </c>
      <c r="S3" t="e">
        <f>MAX(0,SUM(IF(FREQUENCY(IF((S7:S20&gt;0)*($G7:$G20&lt;&gt;""),MATCH($G7:$G20,$G7:$G20,0)),ROW($G7:$G20)-ROW($G7)+1)&gt;0,1))-1)*IF(S2="双",VLOOKUP($A$1,换码设置!$A:$C,2,FALSE),IF(S2="单",VLOOKUP($A$1,换码设置!$A:$C,3,FALSE),0))</f>
        <v>#VALUE!</v>
      </c>
      <c r="T3" t="e">
        <f>MAX(0,SUM(IF(FREQUENCY(IF((T7:T20&gt;0)*($G7:$G20&lt;&gt;""),MATCH($G7:$G20,$G7:$G20,0)),ROW($G7:$G20)-ROW($G7)+1)&gt;0,1))-1)*IF(T2="双",VLOOKUP($A$1,换码设置!$A:$C,2,FALSE),IF(T2="单",VLOOKUP($A$1,换码设置!$A:$C,3,FALSE),0))</f>
        <v>#VALUE!</v>
      </c>
      <c r="U3" t="e">
        <f>MAX(0,SUM(IF(FREQUENCY(IF((U7:U20&gt;0)*($G7:$G20&lt;&gt;""),MATCH($G7:$G20,$G7:$G20,0)),ROW($G7:$G20)-ROW($G7)+1)&gt;0,1))-1)*IF(U2="双",VLOOKUP($A$1,换码设置!$A:$C,2,FALSE),IF(U2="单",VLOOKUP($A$1,换码设置!$A:$C,3,FALSE),0))</f>
        <v>#VALUE!</v>
      </c>
      <c r="V3" t="e">
        <f>MAX(0,SUM(IF(FREQUENCY(IF((V7:V20&gt;0)*($G7:$G20&lt;&gt;""),MATCH($G7:$G20,$G7:$G20,0)),ROW($G7:$G20)-ROW($G7)+1)&gt;0,1))-1)*IF(V2="双",VLOOKUP($A$1,换码设置!$A:$C,2,FALSE),IF(V2="单",VLOOKUP($A$1,换码设置!$A:$C,3,FALSE),0))</f>
        <v>#VALUE!</v>
      </c>
      <c r="W3" t="e">
        <f>MAX(0,SUM(IF(FREQUENCY(IF((W7:W20&gt;0)*($G7:$G20&lt;&gt;""),MATCH($G7:$G20,$G7:$G20,0)),ROW($G7:$G20)-ROW($G7)+1)&gt;0,1))-1)*IF(W2="双",VLOOKUP($A$1,换码设置!$A:$C,2,FALSE),IF(W2="单",VLOOKUP($A$1,换码设置!$A:$C,3,FALSE),0))</f>
        <v>#VALUE!</v>
      </c>
      <c r="X3" t="e">
        <f>MAX(0,SUM(IF(FREQUENCY(IF((X7:X20&gt;0)*($G7:$G20&lt;&gt;""),MATCH($G7:$G20,$G7:$G20,0)),ROW($G7:$G20)-ROW($G7)+1)&gt;0,1))-1)*IF(X2="双",VLOOKUP($A$1,换码设置!$A:$C,2,FALSE),IF(X2="单",VLOOKUP($A$1,换码设置!$A:$C,3,FALSE),0))</f>
        <v>#VALUE!</v>
      </c>
      <c r="Y3" t="e">
        <f>MAX(0,SUM(IF(FREQUENCY(IF((Y7:Y20&gt;0)*($G7:$G20&lt;&gt;""),MATCH($G7:$G20,$G7:$G20,0)),ROW($G7:$G20)-ROW($G7)+1)&gt;0,1))-1)*IF(Y2="双",VLOOKUP($A$1,换码设置!$A:$C,2,FALSE),IF(Y2="单",VLOOKUP($A$1,换码设置!$A:$C,3,FALSE),0))</f>
        <v>#VALUE!</v>
      </c>
      <c r="Z3" t="e">
        <f>MAX(0,SUM(IF(FREQUENCY(IF((Z7:Z20&gt;0)*($G7:$G20&lt;&gt;""),MATCH($G7:$G20,$G7:$G20,0)),ROW($G7:$G20)-ROW($G7)+1)&gt;0,1))-1)*IF(Z2="双",VLOOKUP($A$1,换码设置!$A:$C,2,FALSE),IF(Z2="单",VLOOKUP($A$1,换码设置!$A:$C,3,FALSE),0))</f>
        <v>#VALUE!</v>
      </c>
      <c r="AA3" t="e">
        <f>MAX(0,SUM(IF(FREQUENCY(IF((AA7:AA20&gt;0)*($G7:$G20&lt;&gt;""),MATCH($G7:$G20,$G7:$G20,0)),ROW($G7:$G20)-ROW($G7)+1)&gt;0,1))-1)*IF(AA2="双",VLOOKUP($A$1,换码设置!$A:$C,2,FALSE),IF(AA2="单",VLOOKUP($A$1,换码设置!$A:$C,3,FALSE),0))</f>
        <v>#VALUE!</v>
      </c>
      <c r="AB3" t="e">
        <f>MAX(0,SUM(IF(FREQUENCY(IF((AB7:AB20&gt;0)*($G7:$G20&lt;&gt;""),MATCH($G7:$G20,$G7:$G20,0)),ROW($G7:$G20)-ROW($G7)+1)&gt;0,1))-1)*IF(AB2="双",VLOOKUP($A$1,换码设置!$A:$C,2,FALSE),IF(AB2="单",VLOOKUP($A$1,换码设置!$A:$C,3,FALSE),0))</f>
        <v>#VALUE!</v>
      </c>
      <c r="AC3" t="e">
        <f>MAX(0,SUM(IF(FREQUENCY(IF((AC7:AC20&gt;0)*($G7:$G20&lt;&gt;""),MATCH($G7:$G20,$G7:$G20,0)),ROW($G7:$G20)-ROW($G7)+1)&gt;0,1))-1)*IF(AC2="双",VLOOKUP($A$1,换码设置!$A:$C,2,FALSE),IF(AC2="单",VLOOKUP($A$1,换码设置!$A:$C,3,FALSE),0))</f>
        <v>#VALUE!</v>
      </c>
      <c r="AD3" t="e">
        <f>MAX(0,SUM(IF(FREQUENCY(IF((AD7:AD20&gt;0)*($G7:$G20&lt;&gt;""),MATCH($G7:$G20,$G7:$G20,0)),ROW($G7:$G20)-ROW($G7)+1)&gt;0,1))-1)*IF(AD2="双",VLOOKUP($A$1,换码设置!$A:$C,2,FALSE),IF(AD2="单",VLOOKUP($A$1,换码设置!$A:$C,3,FALSE),0))</f>
        <v>#VALUE!</v>
      </c>
      <c r="AE3" t="e">
        <f>MAX(0,SUM(IF(FREQUENCY(IF((AE7:AE20&gt;0)*($G7:$G20&lt;&gt;""),MATCH($G7:$G20,$G7:$G20,0)),ROW($G7:$G20)-ROW($G7)+1)&gt;0,1))-1)*IF(AE2="双",VLOOKUP($A$1,换码设置!$A:$C,2,FALSE),IF(AE2="单",VLOOKUP($A$1,换码设置!$A:$C,3,FALSE),0))</f>
        <v>#VALUE!</v>
      </c>
      <c r="AF3" t="e">
        <f>MAX(0,SUM(IF(FREQUENCY(IF((AF7:AF20&gt;0)*($G7:$G20&lt;&gt;""),MATCH($G7:$G20,$G7:$G20,0)),ROW($G7:$G20)-ROW($G7)+1)&gt;0,1))-1)*IF(AF2="双",VLOOKUP($A$1,换码设置!$A:$C,2,FALSE),IF(AF2="单",VLOOKUP($A$1,换码设置!$A:$C,3,FALSE),0))</f>
        <v>#VALUE!</v>
      </c>
      <c r="AG3" t="e">
        <f>MAX(0,SUM(IF(FREQUENCY(IF((AG7:AG20&gt;0)*($G7:$G20&lt;&gt;""),MATCH($G7:$G20,$G7:$G20,0)),ROW($G7:$G20)-ROW($G7)+1)&gt;0,1))-1)*IF(AG2="双",VLOOKUP($A$1,换码设置!$A:$C,2,FALSE),IF(AG2="单",VLOOKUP($A$1,换码设置!$A:$C,3,FALSE),0))</f>
        <v>#VALUE!</v>
      </c>
      <c r="AH3" t="e">
        <f>MAX(0,SUM(IF(FREQUENCY(IF((AH7:AH20&gt;0)*($G7:$G20&lt;&gt;""),MATCH($G7:$G20,$G7:$G20,0)),ROW($G7:$G20)-ROW($G7)+1)&gt;0,1))-1)*IF(AH2="双",VLOOKUP($A$1,换码设置!$A:$C,2,FALSE),IF(AH2="单",VLOOKUP($A$1,换码设置!$A:$C,3,FALSE),0))</f>
        <v>#VALUE!</v>
      </c>
      <c r="AI3" t="e">
        <f>MAX(0,SUM(IF(FREQUENCY(IF((AI7:AI20&gt;0)*($G7:$G20&lt;&gt;""),MATCH($G7:$G20,$G7:$G20,0)),ROW($G7:$G20)-ROW($G7)+1)&gt;0,1))-1)*IF(AI2="双",VLOOKUP($A$1,换码设置!$A:$C,2,FALSE),IF(AI2="单",VLOOKUP($A$1,换码设置!$A:$C,3,FALSE),0))</f>
        <v>#VALUE!</v>
      </c>
      <c r="AJ3" t="e">
        <f>MAX(0,SUM(IF(FREQUENCY(IF((AJ7:AJ20&gt;0)*($G7:$G20&lt;&gt;""),MATCH($G7:$G20,$G7:$G20,0)),ROW($G7:$G20)-ROW($G7)+1)&gt;0,1))-1)*IF(AJ2="双",VLOOKUP($A$1,换码设置!$A:$C,2,FALSE),IF(AJ2="单",VLOOKUP($A$1,换码设置!$A:$C,3,FALSE),0))</f>
        <v>#VALUE!</v>
      </c>
      <c r="AK3" t="e">
        <f>MAX(0,SUM(IF(FREQUENCY(IF((AK7:AK20&gt;0)*($G7:$G20&lt;&gt;""),MATCH($G7:$G20,$G7:$G20,0)),ROW($G7:$G20)-ROW($G7)+1)&gt;0,1))-1)*IF(AK2="双",VLOOKUP($A$1,换码设置!$A:$C,2,FALSE),IF(AK2="单",VLOOKUP($A$1,换码设置!$A:$C,3,FALSE),0))</f>
        <v>#VALUE!</v>
      </c>
      <c r="AL3" t="e">
        <f>MAX(0,SUM(IF(FREQUENCY(IF((AL7:AL20&gt;0)*($G7:$G20&lt;&gt;""),MATCH($G7:$G20,$G7:$G20,0)),ROW($G7:$G20)-ROW($G7)+1)&gt;0,1))-1)*IF(AL2="双",VLOOKUP($A$1,换码设置!$A:$C,2,FALSE),IF(AL2="单",VLOOKUP($A$1,换码设置!$A:$C,3,FALSE),0))</f>
        <v>#VALUE!</v>
      </c>
      <c r="AM3" t="e">
        <f>MAX(0,SUM(IF(FREQUENCY(IF((AM7:AM20&gt;0)*($G7:$G20&lt;&gt;""),MATCH($G7:$G20,$G7:$G20,0)),ROW($G7:$G20)-ROW($G7)+1)&gt;0,1))-1)*IF(AM2="双",VLOOKUP($A$1,换码设置!$A:$C,2,FALSE),IF(AM2="单",VLOOKUP($A$1,换码设置!$A:$C,3,FALSE),0))</f>
        <v>#VALUE!</v>
      </c>
      <c r="AN3" t="e">
        <f>MAX(0,SUM(IF(FREQUENCY(IF((AN7:AN20&gt;0)*($G7:$G20&lt;&gt;""),MATCH($G7:$G20,$G7:$G20,0)),ROW($G7:$G20)-ROW($G7)+1)&gt;0,1))-1)*IF(AN2="双",VLOOKUP($A$1,换码设置!$A:$C,2,FALSE),IF(AN2="单",VLOOKUP($A$1,换码设置!$A:$C,3,FALSE),0))</f>
        <v>#VALUE!</v>
      </c>
      <c r="AO3" t="e">
        <f>MAX(0,SUM(IF(FREQUENCY(IF((AO7:AO20&gt;0)*($G7:$G20&lt;&gt;""),MATCH($G7:$G20,$G7:$G20,0)),ROW($G7:$G20)-ROW($G7)+1)&gt;0,1))-1)*IF(AO2="双",VLOOKUP($A$1,换码设置!$A:$C,2,FALSE),IF(AO2="单",VLOOKUP($A$1,换码设置!$A:$C,3,FALSE),0))</f>
        <v>#VALUE!</v>
      </c>
      <c r="AP3" t="e">
        <f>MAX(0,SUM(IF(FREQUENCY(IF((AP7:AP20&gt;0)*($G7:$G20&lt;&gt;""),MATCH($G7:$G20,$G7:$G20,0)),ROW($G7:$G20)-ROW($G7)+1)&gt;0,1))-1)*IF(AP2="双",VLOOKUP($A$1,换码设置!$A:$C,2,FALSE),IF(AP2="单",VLOOKUP($A$1,换码设置!$A:$C,3,FALSE),0))</f>
        <v>#VALUE!</v>
      </c>
      <c r="AQ3" t="e">
        <f>MAX(0,SUM(IF(FREQUENCY(IF((AQ7:AQ20&gt;0)*($G7:$G20&lt;&gt;""),MATCH($G7:$G20,$G7:$G20,0)),ROW($G7:$G20)-ROW($G7)+1)&gt;0,1))-1)*IF(AQ2="双",VLOOKUP($A$1,换码设置!$A:$C,2,FALSE),IF(AQ2="单",VLOOKUP($A$1,换码设置!$A:$C,3,FALSE),0))</f>
        <v>#VALUE!</v>
      </c>
      <c r="AR3" t="e">
        <f>MAX(0,SUM(IF(FREQUENCY(IF((AR7:AR20&gt;0)*($G7:$G20&lt;&gt;""),MATCH($G7:$G20,$G7:$G20,0)),ROW($G7:$G20)-ROW($G7)+1)&gt;0,1))-1)*IF(AR2="双",VLOOKUP($A$1,换码设置!$A:$C,2,FALSE),IF(AR2="单",VLOOKUP($A$1,换码设置!$A:$C,3,FALSE),0))</f>
        <v>#VALUE!</v>
      </c>
      <c r="AS3" t="e">
        <f>MAX(0,SUM(IF(FREQUENCY(IF((AS7:AS20&gt;0)*($G7:$G20&lt;&gt;""),MATCH($G7:$G20,$G7:$G20,0)),ROW($G7:$G20)-ROW($G7)+1)&gt;0,1))-1)*IF(AS2="双",VLOOKUP($A$1,换码设置!$A:$C,2,FALSE),IF(AS2="单",VLOOKUP($A$1,换码设置!$A:$C,3,FALSE),0))</f>
        <v>#VALUE!</v>
      </c>
      <c r="AT3" t="e">
        <f>MAX(0,SUM(IF(FREQUENCY(IF((AT7:AT20&gt;0)*($G7:$G20&lt;&gt;""),MATCH($G7:$G20,$G7:$G20,0)),ROW($G7:$G20)-ROW($G7)+1)&gt;0,1))-1)*IF(AT2="双",VLOOKUP($A$1,换码设置!$A:$C,2,FALSE),IF(AT2="单",VLOOKUP($A$1,换码设置!$A:$C,3,FALSE),0))</f>
        <v>#VALUE!</v>
      </c>
      <c r="AU3" t="e">
        <f>MAX(0,SUM(IF(FREQUENCY(IF((AU7:AU20&gt;0)*($G7:$G20&lt;&gt;""),MATCH($G7:$G20,$G7:$G20,0)),ROW($G7:$G20)-ROW($G7)+1)&gt;0,1))-1)*IF(AU2="双",VLOOKUP($A$1,换码设置!$A:$C,2,FALSE),IF(AU2="单",VLOOKUP($A$1,换码设置!$A:$C,3,FALSE),0))</f>
        <v>#VALUE!</v>
      </c>
      <c r="AV3" t="e">
        <f>MAX(0,SUM(IF(FREQUENCY(IF((AV7:AV20&gt;0)*($G7:$G20&lt;&gt;""),MATCH($G7:$G20,$G7:$G20,0)),ROW($G7:$G20)-ROW($G7)+1)&gt;0,1))-1)*IF(AV2="双",VLOOKUP($A$1,换码设置!$A:$C,2,FALSE),IF(AV2="单",VLOOKUP($A$1,换码设置!$A:$C,3,FALSE),0))</f>
        <v>#VALUE!</v>
      </c>
      <c r="AW3" t="e">
        <f>MAX(0,SUM(IF(FREQUENCY(IF((AW7:AW20&gt;0)*($G7:$G20&lt;&gt;""),MATCH($G7:$G20,$G7:$G20,0)),ROW($G7:$G20)-ROW($G7)+1)&gt;0,1))-1)*IF(AW2="双",VLOOKUP($A$1,换码设置!$A:$C,2,FALSE),IF(AW2="单",VLOOKUP($A$1,换码设置!$A:$C,3,FALSE),0))</f>
        <v>#VALUE!</v>
      </c>
      <c r="AX3" t="e">
        <f>MAX(0,SUM(IF(FREQUENCY(IF((AX7:AX20&gt;0)*($G7:$G20&lt;&gt;""),MATCH($G7:$G20,$G7:$G20,0)),ROW($G7:$G20)-ROW($G7)+1)&gt;0,1))-1)*IF(AX2="双",VLOOKUP($A$1,换码设置!$A:$C,2,FALSE),IF(AX2="单",VLOOKUP($A$1,换码设置!$A:$C,3,FALSE),0))</f>
        <v>#VALUE!</v>
      </c>
      <c r="AY3" t="e">
        <f>MAX(0,SUM(IF(FREQUENCY(IF((AY7:AY20&gt;0)*($G7:$G20&lt;&gt;""),MATCH($G7:$G20,$G7:$G20,0)),ROW($G7:$G20)-ROW($G7)+1)&gt;0,1))-1)*IF(AY2="双",VLOOKUP($A$1,换码设置!$A:$C,2,FALSE),IF(AY2="单",VLOOKUP($A$1,换码设置!$A:$C,3,FALSE),0))</f>
        <v>#VALUE!</v>
      </c>
      <c r="AZ3" t="e">
        <f>MAX(0,SUM(IF(FREQUENCY(IF((AZ7:AZ20&gt;0)*($G7:$G20&lt;&gt;""),MATCH($G7:$G20,$G7:$G20,0)),ROW($G7:$G20)-ROW($G7)+1)&gt;0,1))-1)*IF(AZ2="双",VLOOKUP($A$1,换码设置!$A:$C,2,FALSE),IF(AZ2="单",VLOOKUP($A$1,换码设置!$A:$C,3,FALSE),0))</f>
        <v>#VALUE!</v>
      </c>
      <c r="BA3" t="e">
        <f>MAX(0,SUM(IF(FREQUENCY(IF((BA7:BA20&gt;0)*($G7:$G20&lt;&gt;""),MATCH($G7:$G20,$G7:$G20,0)),ROW($G7:$G20)-ROW($G7)+1)&gt;0,1))-1)*IF(BA2="双",VLOOKUP($A$1,换码设置!$A:$C,2,FALSE),IF(BA2="单",VLOOKUP($A$1,换码设置!$A:$C,3,FALSE),0))</f>
        <v>#VALUE!</v>
      </c>
      <c r="BB3" t="e">
        <f>MAX(0,SUM(IF(FREQUENCY(IF((BB7:BB20&gt;0)*($G7:$G20&lt;&gt;""),MATCH($G7:$G20,$G7:$G20,0)),ROW($G7:$G20)-ROW($G7)+1)&gt;0,1))-1)*IF(BB2="双",VLOOKUP($A$1,换码设置!$A:$C,2,FALSE),IF(BB2="单",VLOOKUP($A$1,换码设置!$A:$C,3,FALSE),0))</f>
        <v>#VALUE!</v>
      </c>
      <c r="BC3" t="e">
        <f>MAX(0,SUM(IF(FREQUENCY(IF((BC7:BC20&gt;0)*($G7:$G20&lt;&gt;""),MATCH($G7:$G20,$G7:$G20,0)),ROW($G7:$G20)-ROW($G7)+1)&gt;0,1))-1)*IF(BC2="双",VLOOKUP($A$1,换码设置!$A:$C,2,FALSE),IF(BC2="单",VLOOKUP($A$1,换码设置!$A:$C,3,FALSE),0))</f>
        <v>#VALUE!</v>
      </c>
      <c r="BD3" t="e">
        <f>MAX(0,SUM(IF(FREQUENCY(IF((BD7:BD20&gt;0)*($G7:$G20&lt;&gt;""),MATCH($G7:$G20,$G7:$G20,0)),ROW($G7:$G20)-ROW($G7)+1)&gt;0,1))-1)*IF(BD2="双",VLOOKUP($A$1,换码设置!$A:$C,2,FALSE),IF(BD2="单",VLOOKUP($A$1,换码设置!$A:$C,3,FALSE),0))</f>
        <v>#VALUE!</v>
      </c>
      <c r="BE3" t="e">
        <f>MAX(0,SUM(IF(FREQUENCY(IF((BE7:BE20&gt;0)*($G7:$G20&lt;&gt;""),MATCH($G7:$G20,$G7:$G20,0)),ROW($G7:$G20)-ROW($G7)+1)&gt;0,1))-1)*IF(BE2="双",VLOOKUP($A$1,换码设置!$A:$C,2,FALSE),IF(BE2="单",VLOOKUP($A$1,换码设置!$A:$C,3,FALSE),0))</f>
        <v>#VALUE!</v>
      </c>
      <c r="BF3" t="e">
        <f>MAX(0,SUM(IF(FREQUENCY(IF((BF7:BF20&gt;0)*($G7:$G20&lt;&gt;""),MATCH($G7:$G20,$G7:$G20,0)),ROW($G7:$G20)-ROW($G7)+1)&gt;0,1))-1)*IF(BF2="双",VLOOKUP($A$1,换码设置!$A:$C,2,FALSE),IF(BF2="单",VLOOKUP($A$1,换码设置!$A:$C,3,FALSE),0))</f>
        <v>#VALUE!</v>
      </c>
      <c r="BG3" t="e">
        <f>MAX(0,SUM(IF(FREQUENCY(IF((BG7:BG20&gt;0)*($G7:$G20&lt;&gt;""),MATCH($G7:$G20,$G7:$G20,0)),ROW($G7:$G20)-ROW($G7)+1)&gt;0,1))-1)*IF(BG2="双",VLOOKUP($A$1,换码设置!$A:$C,2,FALSE),IF(BG2="单",VLOOKUP($A$1,换码设置!$A:$C,3,FALSE),0))</f>
        <v>#VALUE!</v>
      </c>
      <c r="BH3" t="e">
        <f>MAX(0,SUM(IF(FREQUENCY(IF((BH7:BH20&gt;0)*($G7:$G20&lt;&gt;""),MATCH($G7:$G20,$G7:$G20,0)),ROW($G7:$G20)-ROW($G7)+1)&gt;0,1))-1)*IF(BH2="双",VLOOKUP($A$1,换码设置!$A:$C,2,FALSE),IF(BH2="单",VLOOKUP($A$1,换码设置!$A:$C,3,FALSE),0))</f>
        <v>#VALUE!</v>
      </c>
      <c r="BI3" t="e">
        <f>MAX(0,SUM(IF(FREQUENCY(IF((BI7:BI20&gt;0)*($G7:$G20&lt;&gt;""),MATCH($G7:$G20,$G7:$G20,0)),ROW($G7:$G20)-ROW($G7)+1)&gt;0,1))-1)*IF(BI2="双",VLOOKUP($A$1,换码设置!$A:$C,2,FALSE),IF(BI2="单",VLOOKUP($A$1,换码设置!$A:$C,3,FALSE),0))</f>
        <v>#VALUE!</v>
      </c>
      <c r="BJ3" t="e">
        <f>MAX(0,SUM(IF(FREQUENCY(IF((BJ7:BJ20&gt;0)*($G7:$G20&lt;&gt;""),MATCH($G7:$G20,$G7:$G20,0)),ROW($G7:$G20)-ROW($G7)+1)&gt;0,1))-1)*IF(BJ2="双",VLOOKUP($A$1,换码设置!$A:$C,2,FALSE),IF(BJ2="单",VLOOKUP($A$1,换码设置!$A:$C,3,FALSE),0))</f>
        <v>#VALUE!</v>
      </c>
      <c r="BK3" t="e">
        <f>MAX(0,SUM(IF(FREQUENCY(IF((BK7:BK20&gt;0)*($G7:$G20&lt;&gt;""),MATCH($G7:$G20,$G7:$G20,0)),ROW($G7:$G20)-ROW($G7)+1)&gt;0,1))-1)*IF(BK2="双",VLOOKUP($A$1,换码设置!$A:$C,2,FALSE),IF(BK2="单",VLOOKUP($A$1,换码设置!$A:$C,3,FALSE),0))</f>
        <v>#VALUE!</v>
      </c>
      <c r="BL3" t="e">
        <f>MAX(0,SUM(IF(FREQUENCY(IF((BL7:BL20&gt;0)*($G7:$G20&lt;&gt;""),MATCH($G7:$G20,$G7:$G20,0)),ROW($G7:$G20)-ROW($G7)+1)&gt;0,1))-1)*IF(BL2="双",VLOOKUP($A$1,换码设置!$A:$C,2,FALSE),IF(BL2="单",VLOOKUP($A$1,换码设置!$A:$C,3,FALSE),0))</f>
        <v>#VALUE!</v>
      </c>
      <c r="BM3" t="e">
        <f>MAX(0,SUM(IF(FREQUENCY(IF((BM7:BM20&gt;0)*($G7:$G20&lt;&gt;""),MATCH($G7:$G20,$G7:$G20,0)),ROW($G7:$G20)-ROW($G7)+1)&gt;0,1))-1)*IF(BM2="双",VLOOKUP($A$1,换码设置!$A:$C,2,FALSE),IF(BM2="单",VLOOKUP($A$1,换码设置!$A:$C,3,FALSE),0))</f>
        <v>#VALUE!</v>
      </c>
      <c r="BN3" t="e">
        <f>MAX(0,SUM(IF(FREQUENCY(IF((BN7:BN20&gt;0)*($G7:$G20&lt;&gt;""),MATCH($G7:$G20,$G7:$G20,0)),ROW($G7:$G20)-ROW($G7)+1)&gt;0,1))-1)*IF(BN2="双",VLOOKUP($A$1,换码设置!$A:$C,2,FALSE),IF(BN2="单",VLOOKUP($A$1,换码设置!$A:$C,3,FALSE),0))</f>
        <v>#VALUE!</v>
      </c>
      <c r="BO3" t="e">
        <f>MAX(0,SUM(IF(FREQUENCY(IF((BO7:BO20&gt;0)*($G7:$G20&lt;&gt;""),MATCH($G7:$G20,$G7:$G20,0)),ROW($G7:$G20)-ROW($G7)+1)&gt;0,1))-1)*IF(BO2="双",VLOOKUP($A$1,换码设置!$A:$C,2,FALSE),IF(BO2="单",VLOOKUP($A$1,换码设置!$A:$C,3,FALSE),0))</f>
        <v>#VALUE!</v>
      </c>
      <c r="BP3" t="e">
        <f>MAX(0,SUM(IF(FREQUENCY(IF((BP7:BP20&gt;0)*($G7:$G20&lt;&gt;""),MATCH($G7:$G20,$G7:$G20,0)),ROW($G7:$G20)-ROW($G7)+1)&gt;0,1))-1)*IF(BP2="双",VLOOKUP($A$1,换码设置!$A:$C,2,FALSE),IF(BP2="单",VLOOKUP($A$1,换码设置!$A:$C,3,FALSE),0))</f>
        <v>#VALUE!</v>
      </c>
    </row>
    <row r="4" spans="1:68" s="1" customFormat="1" ht="16.25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30">
        <v>46148</v>
      </c>
      <c r="N4" s="30">
        <v>46149</v>
      </c>
      <c r="O4" s="30">
        <v>46150</v>
      </c>
      <c r="P4" s="30">
        <v>46151</v>
      </c>
      <c r="Q4" s="30">
        <v>46152</v>
      </c>
      <c r="R4" s="30">
        <v>46153</v>
      </c>
      <c r="S4" s="30">
        <v>46154</v>
      </c>
      <c r="T4" s="30">
        <v>46155</v>
      </c>
      <c r="U4" s="30">
        <v>46156</v>
      </c>
      <c r="V4" s="30">
        <v>46157</v>
      </c>
      <c r="W4" s="30">
        <v>46158</v>
      </c>
      <c r="X4" s="30">
        <v>46159</v>
      </c>
      <c r="Y4" s="30">
        <v>46160</v>
      </c>
      <c r="Z4" s="30">
        <v>46161</v>
      </c>
      <c r="AA4" s="30">
        <v>46162</v>
      </c>
      <c r="AB4" s="30">
        <v>46163</v>
      </c>
      <c r="AC4" s="30">
        <v>46164</v>
      </c>
      <c r="AD4" s="30">
        <v>46165</v>
      </c>
      <c r="AE4" s="30">
        <v>46166</v>
      </c>
      <c r="AF4" s="30">
        <v>46167</v>
      </c>
      <c r="AG4" s="30">
        <v>46168</v>
      </c>
      <c r="AH4" s="30">
        <v>46169</v>
      </c>
      <c r="AI4" s="30">
        <v>46170</v>
      </c>
      <c r="AJ4" s="30">
        <v>46171</v>
      </c>
      <c r="AK4" s="30">
        <v>46172</v>
      </c>
      <c r="AL4" s="30">
        <v>46173</v>
      </c>
      <c r="AM4" s="30">
        <v>46174</v>
      </c>
      <c r="AN4" s="30">
        <v>46175</v>
      </c>
      <c r="AO4" s="30">
        <v>46176</v>
      </c>
      <c r="AP4" s="30">
        <v>46177</v>
      </c>
      <c r="AQ4" s="30">
        <v>46178</v>
      </c>
      <c r="AR4" s="30">
        <v>46179</v>
      </c>
      <c r="AS4" s="30">
        <v>46180</v>
      </c>
      <c r="AT4" s="30">
        <v>46181</v>
      </c>
      <c r="AU4" s="30">
        <v>46182</v>
      </c>
      <c r="AV4" s="30">
        <v>46183</v>
      </c>
      <c r="AW4" s="30">
        <v>46184</v>
      </c>
      <c r="AX4" s="30">
        <v>46185</v>
      </c>
      <c r="AY4" s="30">
        <v>46186</v>
      </c>
      <c r="AZ4" s="30">
        <v>46187</v>
      </c>
      <c r="BA4" s="30">
        <v>46188</v>
      </c>
      <c r="BB4" s="30">
        <v>46189</v>
      </c>
      <c r="BC4" s="30">
        <v>46190</v>
      </c>
      <c r="BD4" s="30">
        <v>46191</v>
      </c>
      <c r="BE4" s="30">
        <v>46192</v>
      </c>
      <c r="BF4" s="30">
        <v>46193</v>
      </c>
      <c r="BG4" s="30">
        <v>46194</v>
      </c>
      <c r="BH4" s="30">
        <v>46195</v>
      </c>
      <c r="BI4" s="30">
        <v>46196</v>
      </c>
      <c r="BJ4" s="30">
        <v>46197</v>
      </c>
      <c r="BK4" s="30">
        <v>46198</v>
      </c>
      <c r="BL4" s="30">
        <v>46199</v>
      </c>
      <c r="BM4" s="30">
        <v>46200</v>
      </c>
      <c r="BN4" s="30">
        <v>46201</v>
      </c>
      <c r="BO4" s="30">
        <v>46202</v>
      </c>
      <c r="BP4" s="30">
        <v>46203</v>
      </c>
    </row>
    <row r="5" spans="1:68" s="1" customFormat="1" ht="15.5" customHeight="1">
      <c r="F5" s="100"/>
      <c r="G5" s="100"/>
      <c r="I5" s="95"/>
      <c r="J5" s="96"/>
      <c r="K5" s="5" t="s">
        <v>7</v>
      </c>
      <c r="L5" s="9" t="e">
        <f>SUM(L1:L3)</f>
        <v>#REF!</v>
      </c>
      <c r="M5" s="15" t="e">
        <f t="shared" ref="M5:AR5" si="0">IF(M2="单",$J$1,IF(M2="双",$J$2,0))-M3-M6</f>
        <v>#VALUE!</v>
      </c>
      <c r="N5" s="15" t="e">
        <f t="shared" si="0"/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ref="AS5:BP5" si="1">IF(AS2="单",$J$1,IF(AS2="双",$J$2,0))-AS3-AS6</f>
        <v>#VALUE!</v>
      </c>
      <c r="AT5" s="15" t="e">
        <f t="shared" si="1"/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</row>
    <row r="6" spans="1:68" ht="16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</row>
    <row r="7" spans="1:68" ht="15.5" customHeight="1">
      <c r="A7" s="25" t="s">
        <v>336</v>
      </c>
      <c r="B7" s="25"/>
      <c r="C7" s="25"/>
      <c r="D7" s="19" t="s">
        <v>337</v>
      </c>
      <c r="E7" s="40" t="s">
        <v>338</v>
      </c>
      <c r="F7" s="25">
        <v>9</v>
      </c>
      <c r="G7" s="25">
        <v>16</v>
      </c>
      <c r="H7" s="41"/>
      <c r="I7" s="42"/>
      <c r="J7" s="25">
        <v>1316</v>
      </c>
      <c r="K7" s="25" t="e">
        <f t="shared" ref="K7:K20" si="2">F6*G6*J6</f>
        <v>#VALUE!</v>
      </c>
      <c r="L7" s="43">
        <v>0</v>
      </c>
      <c r="M7" s="28">
        <v>487</v>
      </c>
      <c r="N7" s="28">
        <v>487</v>
      </c>
      <c r="O7" s="28">
        <v>342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25" t="s">
        <v>339</v>
      </c>
      <c r="B8" s="25"/>
      <c r="C8" s="25"/>
      <c r="D8" s="25" t="s">
        <v>340</v>
      </c>
      <c r="E8" s="21" t="s">
        <v>341</v>
      </c>
      <c r="F8" s="25">
        <v>10</v>
      </c>
      <c r="G8" s="25">
        <v>12</v>
      </c>
      <c r="H8" s="41"/>
      <c r="I8" s="41"/>
      <c r="J8" s="25">
        <v>150</v>
      </c>
      <c r="K8" s="25">
        <f t="shared" si="2"/>
        <v>189504</v>
      </c>
      <c r="L8" s="43">
        <v>0</v>
      </c>
      <c r="M8" s="28"/>
      <c r="N8" s="28"/>
      <c r="O8" s="28">
        <v>150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7.5" customHeight="1">
      <c r="A9" s="25" t="s">
        <v>339</v>
      </c>
      <c r="B9" s="25"/>
      <c r="C9" s="25" t="s">
        <v>78</v>
      </c>
      <c r="D9" s="25" t="s">
        <v>342</v>
      </c>
      <c r="E9" s="40" t="s">
        <v>341</v>
      </c>
      <c r="F9" s="25">
        <v>10</v>
      </c>
      <c r="G9" s="25">
        <v>12</v>
      </c>
      <c r="H9" s="41">
        <v>46056</v>
      </c>
      <c r="I9" s="41">
        <v>46106</v>
      </c>
      <c r="J9" s="25">
        <v>300</v>
      </c>
      <c r="K9" s="25">
        <f t="shared" si="2"/>
        <v>18000</v>
      </c>
      <c r="L9" s="43">
        <v>0</v>
      </c>
      <c r="M9" s="28"/>
      <c r="N9" s="28"/>
      <c r="O9" s="28">
        <v>24</v>
      </c>
      <c r="P9" s="28">
        <v>276</v>
      </c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ht="15.5" customHeight="1">
      <c r="A10" s="32" t="s">
        <v>343</v>
      </c>
      <c r="B10" s="32"/>
      <c r="C10" s="32" t="s">
        <v>54</v>
      </c>
      <c r="D10" s="32" t="s">
        <v>344</v>
      </c>
      <c r="E10" s="33" t="s">
        <v>345</v>
      </c>
      <c r="F10" s="32">
        <v>10</v>
      </c>
      <c r="G10" s="32">
        <v>15</v>
      </c>
      <c r="H10" s="34">
        <v>46122</v>
      </c>
      <c r="I10" s="34">
        <v>46152</v>
      </c>
      <c r="J10" s="32">
        <v>180</v>
      </c>
      <c r="K10" s="32">
        <f t="shared" si="2"/>
        <v>36000</v>
      </c>
      <c r="L10" s="32">
        <v>0</v>
      </c>
      <c r="M10" s="28"/>
      <c r="N10" s="28"/>
      <c r="O10" s="28"/>
      <c r="P10" s="28">
        <v>180</v>
      </c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5.5" customHeight="1">
      <c r="A11" s="25" t="s">
        <v>346</v>
      </c>
      <c r="B11" s="25"/>
      <c r="C11" s="25" t="s">
        <v>146</v>
      </c>
      <c r="D11" s="25" t="s">
        <v>347</v>
      </c>
      <c r="E11" s="40" t="s">
        <v>348</v>
      </c>
      <c r="F11" s="25">
        <v>10</v>
      </c>
      <c r="G11" s="25">
        <v>10</v>
      </c>
      <c r="H11" s="41">
        <v>46058</v>
      </c>
      <c r="I11" s="41">
        <v>46112</v>
      </c>
      <c r="J11" s="25">
        <v>500</v>
      </c>
      <c r="K11" s="25">
        <f t="shared" si="2"/>
        <v>27000</v>
      </c>
      <c r="L11" s="43">
        <v>0</v>
      </c>
      <c r="M11" s="28"/>
      <c r="N11" s="28"/>
      <c r="O11" s="28"/>
      <c r="P11" s="28">
        <v>100</v>
      </c>
      <c r="Q11" s="28"/>
      <c r="R11" s="28">
        <v>400</v>
      </c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s="2" customFormat="1" ht="15.5" customHeight="1">
      <c r="A12" s="25" t="s">
        <v>349</v>
      </c>
      <c r="B12" s="25"/>
      <c r="C12" s="25" t="s">
        <v>81</v>
      </c>
      <c r="D12" s="25" t="s">
        <v>350</v>
      </c>
      <c r="E12" s="40" t="s">
        <v>351</v>
      </c>
      <c r="F12" s="25">
        <v>10</v>
      </c>
      <c r="G12" s="25">
        <v>12</v>
      </c>
      <c r="H12" s="41">
        <v>46059</v>
      </c>
      <c r="I12" s="41">
        <v>46109</v>
      </c>
      <c r="J12" s="25">
        <v>500</v>
      </c>
      <c r="K12" s="25">
        <f t="shared" si="2"/>
        <v>50000</v>
      </c>
      <c r="L12" s="43">
        <v>0</v>
      </c>
      <c r="M12" s="28"/>
      <c r="N12" s="28"/>
      <c r="O12" s="28"/>
      <c r="P12" s="28"/>
      <c r="Q12" s="28"/>
      <c r="R12" s="28">
        <v>251</v>
      </c>
      <c r="S12" s="28">
        <v>249</v>
      </c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ht="17.5" customHeight="1">
      <c r="A13" s="19" t="s">
        <v>352</v>
      </c>
      <c r="B13" s="19"/>
      <c r="C13" s="19"/>
      <c r="D13" s="25" t="s">
        <v>353</v>
      </c>
      <c r="E13" s="21" t="s">
        <v>354</v>
      </c>
      <c r="F13" s="19">
        <v>3</v>
      </c>
      <c r="G13" s="19">
        <v>30</v>
      </c>
      <c r="H13" s="36">
        <v>46094</v>
      </c>
      <c r="I13" s="36">
        <v>46127</v>
      </c>
      <c r="J13" s="19">
        <v>350</v>
      </c>
      <c r="K13" s="25">
        <f t="shared" si="2"/>
        <v>60000</v>
      </c>
      <c r="L13" s="26">
        <v>0</v>
      </c>
      <c r="M13" s="24"/>
      <c r="N13" s="24"/>
      <c r="O13" s="24"/>
      <c r="P13" s="24"/>
      <c r="Q13" s="24"/>
      <c r="R13" s="24"/>
      <c r="S13" s="24">
        <v>350</v>
      </c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</row>
    <row r="14" spans="1:68" s="2" customFormat="1" ht="15.5" customHeight="1">
      <c r="A14" s="32" t="s">
        <v>355</v>
      </c>
      <c r="B14" s="32"/>
      <c r="C14" s="32" t="s">
        <v>54</v>
      </c>
      <c r="D14" s="32" t="s">
        <v>356</v>
      </c>
      <c r="E14" s="33" t="s">
        <v>357</v>
      </c>
      <c r="F14" s="32">
        <v>15</v>
      </c>
      <c r="G14" s="32">
        <v>8</v>
      </c>
      <c r="H14" s="34">
        <v>46122</v>
      </c>
      <c r="I14" s="34">
        <v>46152</v>
      </c>
      <c r="J14" s="32">
        <v>400</v>
      </c>
      <c r="K14" s="32">
        <f t="shared" si="2"/>
        <v>31500</v>
      </c>
      <c r="L14" s="32">
        <v>0</v>
      </c>
      <c r="M14" s="28"/>
      <c r="N14" s="28"/>
      <c r="O14" s="28"/>
      <c r="P14" s="28"/>
      <c r="Q14" s="28"/>
      <c r="R14" s="28"/>
      <c r="S14" s="28">
        <v>73</v>
      </c>
      <c r="T14" s="28">
        <v>327</v>
      </c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  <row r="15" spans="1:68" ht="17.5" customHeight="1">
      <c r="A15" s="19" t="s">
        <v>339</v>
      </c>
      <c r="B15" s="19"/>
      <c r="C15" s="21"/>
      <c r="D15" s="21" t="s">
        <v>358</v>
      </c>
      <c r="E15" s="21" t="s">
        <v>341</v>
      </c>
      <c r="F15" s="19">
        <v>10</v>
      </c>
      <c r="G15" s="19">
        <v>12</v>
      </c>
      <c r="H15" s="36">
        <v>46094</v>
      </c>
      <c r="I15" s="36">
        <v>46127</v>
      </c>
      <c r="J15" s="19">
        <v>1500</v>
      </c>
      <c r="K15" s="25">
        <f t="shared" si="2"/>
        <v>48000</v>
      </c>
      <c r="L15" s="26">
        <v>0</v>
      </c>
      <c r="M15" s="24"/>
      <c r="N15" s="24"/>
      <c r="O15" s="24"/>
      <c r="P15" s="24"/>
      <c r="Q15" s="24"/>
      <c r="R15" s="24"/>
      <c r="S15" s="24"/>
      <c r="T15" s="24">
        <v>257</v>
      </c>
      <c r="U15" s="24">
        <v>584</v>
      </c>
      <c r="V15" s="24">
        <v>584</v>
      </c>
      <c r="W15" s="24">
        <v>75</v>
      </c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</row>
    <row r="16" spans="1:68" ht="17.5" customHeight="1">
      <c r="A16" s="35" t="s">
        <v>359</v>
      </c>
      <c r="B16" s="35"/>
      <c r="C16" s="35" t="s">
        <v>154</v>
      </c>
      <c r="D16" s="35" t="s">
        <v>360</v>
      </c>
      <c r="E16" s="21" t="s">
        <v>361</v>
      </c>
      <c r="F16" s="19">
        <v>5</v>
      </c>
      <c r="G16" s="19">
        <v>30</v>
      </c>
      <c r="H16" s="36">
        <v>46129</v>
      </c>
      <c r="I16" s="23">
        <v>46159</v>
      </c>
      <c r="J16" s="19">
        <v>100</v>
      </c>
      <c r="K16" s="19">
        <f t="shared" si="2"/>
        <v>180000</v>
      </c>
      <c r="L16" s="19">
        <v>0</v>
      </c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>
        <v>100</v>
      </c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8" ht="17.5" customHeight="1">
      <c r="A17" s="19" t="s">
        <v>362</v>
      </c>
      <c r="B17" s="19"/>
      <c r="C17" s="19"/>
      <c r="D17" s="35" t="s">
        <v>363</v>
      </c>
      <c r="E17" s="21" t="s">
        <v>364</v>
      </c>
      <c r="F17" s="19">
        <v>10</v>
      </c>
      <c r="G17" s="19">
        <v>10</v>
      </c>
      <c r="H17" s="36"/>
      <c r="I17" s="23"/>
      <c r="J17" s="19">
        <v>1280</v>
      </c>
      <c r="K17" s="19">
        <f t="shared" si="2"/>
        <v>15000</v>
      </c>
      <c r="L17" s="26">
        <v>0</v>
      </c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>
        <v>461</v>
      </c>
      <c r="X17" s="28"/>
      <c r="Y17" s="28">
        <v>701</v>
      </c>
      <c r="Z17" s="28">
        <v>118</v>
      </c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8" ht="17.5" customHeight="1">
      <c r="A18" s="35" t="s">
        <v>365</v>
      </c>
      <c r="B18" s="35"/>
      <c r="C18" s="35" t="s">
        <v>74</v>
      </c>
      <c r="D18" s="35" t="s">
        <v>366</v>
      </c>
      <c r="E18" s="21" t="s">
        <v>367</v>
      </c>
      <c r="F18" s="19">
        <v>10</v>
      </c>
      <c r="G18" s="19">
        <v>30</v>
      </c>
      <c r="H18" s="36">
        <v>46136</v>
      </c>
      <c r="I18" s="23">
        <v>46168</v>
      </c>
      <c r="J18" s="19">
        <v>300</v>
      </c>
      <c r="K18" s="19">
        <f t="shared" si="2"/>
        <v>128000</v>
      </c>
      <c r="L18" s="19">
        <v>0</v>
      </c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>
        <v>194</v>
      </c>
      <c r="AA18" s="28">
        <v>106</v>
      </c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7.5" customHeight="1">
      <c r="A19" s="35" t="s">
        <v>339</v>
      </c>
      <c r="B19" s="35"/>
      <c r="C19" s="35" t="s">
        <v>74</v>
      </c>
      <c r="D19" s="35" t="s">
        <v>368</v>
      </c>
      <c r="E19" s="21" t="s">
        <v>341</v>
      </c>
      <c r="F19" s="19">
        <v>10</v>
      </c>
      <c r="G19" s="19">
        <v>12</v>
      </c>
      <c r="H19" s="36">
        <v>46136</v>
      </c>
      <c r="I19" s="23">
        <v>46168</v>
      </c>
      <c r="J19" s="19">
        <v>40</v>
      </c>
      <c r="K19" s="19">
        <f t="shared" si="2"/>
        <v>90000</v>
      </c>
      <c r="L19" s="19">
        <v>0</v>
      </c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>
        <v>40</v>
      </c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  <row r="20" spans="1:68" ht="18" customHeight="1">
      <c r="A20" s="35" t="s">
        <v>346</v>
      </c>
      <c r="B20" s="35"/>
      <c r="C20" s="35" t="s">
        <v>43</v>
      </c>
      <c r="D20" s="44" t="s">
        <v>369</v>
      </c>
      <c r="E20" s="21" t="s">
        <v>348</v>
      </c>
      <c r="F20" s="19">
        <v>10</v>
      </c>
      <c r="G20" s="19">
        <v>10</v>
      </c>
      <c r="H20" s="36">
        <v>46114</v>
      </c>
      <c r="I20" s="23">
        <v>46178</v>
      </c>
      <c r="J20" s="19">
        <v>700</v>
      </c>
      <c r="K20" s="19">
        <f t="shared" si="2"/>
        <v>4800</v>
      </c>
      <c r="L20" s="26">
        <v>0</v>
      </c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>
        <v>335</v>
      </c>
      <c r="AB20" s="28">
        <v>365</v>
      </c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700-000000000000}">
      <formula1>"单,双"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BP31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2.6640625" style="3" customWidth="1"/>
    <col min="2" max="2" width="18.83203125" style="91" customWidth="1"/>
    <col min="3" max="3" width="25.1640625" style="91" customWidth="1"/>
    <col min="4" max="4" width="23" style="3" customWidth="1"/>
    <col min="5" max="5" width="63.33203125" style="91" customWidth="1"/>
    <col min="6" max="7" width="4.1640625" style="3" customWidth="1"/>
    <col min="8" max="8" width="9.6640625" style="3" customWidth="1"/>
    <col min="9" max="9" width="14.1640625" style="3" customWidth="1"/>
    <col min="10" max="10" width="9.6640625" style="3" customWidth="1"/>
    <col min="11" max="11" width="11.83203125" style="3" customWidth="1"/>
    <col min="12" max="12" width="12.33203125" style="3" customWidth="1"/>
  </cols>
  <sheetData>
    <row r="1" spans="1:68" s="1" customFormat="1" ht="16.25" customHeight="1">
      <c r="A1" s="99" t="s">
        <v>129</v>
      </c>
      <c r="B1" s="100"/>
      <c r="C1" s="100"/>
      <c r="D1" s="100"/>
      <c r="E1" s="100"/>
      <c r="F1" s="100"/>
      <c r="G1" s="100"/>
      <c r="H1" s="100"/>
      <c r="I1" s="4" t="s">
        <v>1</v>
      </c>
      <c r="J1" s="90" t="s">
        <v>370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209100</v>
      </c>
      <c r="K2" s="5" t="s">
        <v>137</v>
      </c>
      <c r="L2" s="7" t="e">
        <f>SUM(#REF!)</f>
        <v>#REF!</v>
      </c>
      <c r="M2" s="8" t="s">
        <v>197</v>
      </c>
      <c r="N2" s="8" t="s">
        <v>197</v>
      </c>
      <c r="O2" s="8" t="s">
        <v>197</v>
      </c>
      <c r="P2" s="8" t="s">
        <v>197</v>
      </c>
      <c r="Q2" s="8" t="s">
        <v>197</v>
      </c>
      <c r="R2" s="8" t="s">
        <v>197</v>
      </c>
      <c r="S2" s="8" t="s">
        <v>197</v>
      </c>
      <c r="T2" s="8" t="s">
        <v>197</v>
      </c>
      <c r="U2" s="8" t="s">
        <v>197</v>
      </c>
      <c r="V2" s="8" t="s">
        <v>197</v>
      </c>
      <c r="W2" s="8" t="s">
        <v>197</v>
      </c>
      <c r="X2" s="8" t="s">
        <v>197</v>
      </c>
      <c r="Y2" s="8" t="s">
        <v>197</v>
      </c>
      <c r="Z2" s="8" t="s">
        <v>197</v>
      </c>
      <c r="AA2" s="8" t="s">
        <v>197</v>
      </c>
      <c r="AB2" s="8" t="s">
        <v>197</v>
      </c>
      <c r="AC2" s="8" t="s">
        <v>197</v>
      </c>
      <c r="AD2" s="8" t="s">
        <v>197</v>
      </c>
      <c r="AE2" s="8" t="s">
        <v>197</v>
      </c>
      <c r="AF2" s="8" t="s">
        <v>197</v>
      </c>
      <c r="AG2" s="8" t="s">
        <v>197</v>
      </c>
      <c r="AH2" s="8" t="s">
        <v>197</v>
      </c>
      <c r="AI2" s="8" t="s">
        <v>197</v>
      </c>
      <c r="AJ2" s="8" t="s">
        <v>197</v>
      </c>
      <c r="AK2" s="8" t="s">
        <v>197</v>
      </c>
      <c r="AL2" s="8" t="s">
        <v>197</v>
      </c>
      <c r="AM2" s="8" t="s">
        <v>197</v>
      </c>
      <c r="AN2" s="8" t="s">
        <v>197</v>
      </c>
      <c r="AO2" s="8" t="s">
        <v>197</v>
      </c>
      <c r="AP2" s="8" t="s">
        <v>197</v>
      </c>
      <c r="AQ2" s="8" t="s">
        <v>197</v>
      </c>
      <c r="AR2" s="8" t="s">
        <v>197</v>
      </c>
      <c r="AS2" s="8" t="s">
        <v>197</v>
      </c>
      <c r="AT2" s="8" t="s">
        <v>197</v>
      </c>
      <c r="AU2" s="8" t="s">
        <v>197</v>
      </c>
      <c r="AV2" s="8" t="s">
        <v>197</v>
      </c>
      <c r="AW2" s="8" t="s">
        <v>197</v>
      </c>
      <c r="AX2" s="8" t="s">
        <v>197</v>
      </c>
      <c r="AY2" s="8" t="s">
        <v>197</v>
      </c>
      <c r="AZ2" s="8" t="s">
        <v>197</v>
      </c>
      <c r="BA2" s="8" t="s">
        <v>197</v>
      </c>
      <c r="BB2" s="8" t="s">
        <v>197</v>
      </c>
      <c r="BC2" s="8" t="s">
        <v>197</v>
      </c>
      <c r="BD2" s="8" t="s">
        <v>197</v>
      </c>
      <c r="BE2" s="8" t="s">
        <v>197</v>
      </c>
      <c r="BF2" s="8" t="s">
        <v>197</v>
      </c>
      <c r="BG2" s="8" t="s">
        <v>197</v>
      </c>
      <c r="BH2" s="8" t="s">
        <v>197</v>
      </c>
      <c r="BI2" s="8" t="s">
        <v>197</v>
      </c>
      <c r="BJ2" s="8" t="s">
        <v>197</v>
      </c>
      <c r="BK2" s="8" t="s">
        <v>197</v>
      </c>
      <c r="BL2" s="8" t="s">
        <v>197</v>
      </c>
      <c r="BM2" s="8" t="s">
        <v>197</v>
      </c>
      <c r="BN2" s="8" t="s">
        <v>197</v>
      </c>
      <c r="BO2" s="8" t="s">
        <v>197</v>
      </c>
      <c r="BP2" s="8" t="s">
        <v>197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MAX(0,SUM(IF(FREQUENCY(IF((M7:M31&gt;0)*($G7:$G31&lt;&gt;""),MATCH($G7:$G31,$G7:$G31,0)),ROW($G7:$G31)-ROW($G7)+1)&gt;0,1))-1)*IF(M2="双",VLOOKUP($A$1,换码设置!$A:$C,2,FALSE),IF(M2="单",VLOOKUP($A$1,换码设置!$A:$C,3,FALSE),0))</f>
        <v>#VALUE!</v>
      </c>
      <c r="N3" t="e">
        <f>MAX(0,SUM(IF(FREQUENCY(IF((N7:N31&gt;0)*($G7:$G31&lt;&gt;""),MATCH($G7:$G31,$G7:$G31,0)),ROW($G7:$G31)-ROW($G7)+1)&gt;0,1))-1)*IF(N2="双",VLOOKUP($A$1,换码设置!$A:$C,2,FALSE),IF(N2="单",VLOOKUP($A$1,换码设置!$A:$C,3,FALSE),0))</f>
        <v>#VALUE!</v>
      </c>
      <c r="O3" t="e">
        <f>MAX(0,SUM(IF(FREQUENCY(IF((O7:O31&gt;0)*($G7:$G31&lt;&gt;""),MATCH($G7:$G31,$G7:$G31,0)),ROW($G7:$G31)-ROW($G7)+1)&gt;0,1))-1)*IF(O2="双",VLOOKUP($A$1,换码设置!$A:$C,2,FALSE),IF(O2="单",VLOOKUP($A$1,换码设置!$A:$C,3,FALSE),0))</f>
        <v>#VALUE!</v>
      </c>
      <c r="P3" t="e">
        <f>MAX(0,SUM(IF(FREQUENCY(IF((P7:P31&gt;0)*($G7:$G31&lt;&gt;""),MATCH($G7:$G31,$G7:$G31,0)),ROW($G7:$G31)-ROW($G7)+1)&gt;0,1))-1)*IF(P2="双",VLOOKUP($A$1,换码设置!$A:$C,2,FALSE),IF(P2="单",VLOOKUP($A$1,换码设置!$A:$C,3,FALSE),0))</f>
        <v>#VALUE!</v>
      </c>
      <c r="Q3" t="e">
        <f>MAX(0,SUM(IF(FREQUENCY(IF((Q7:Q31&gt;0)*($G7:$G31&lt;&gt;""),MATCH($G7:$G31,$G7:$G31,0)),ROW($G7:$G31)-ROW($G7)+1)&gt;0,1))-1)*IF(Q2="双",VLOOKUP($A$1,换码设置!$A:$C,2,FALSE),IF(Q2="单",VLOOKUP($A$1,换码设置!$A:$C,3,FALSE),0))</f>
        <v>#VALUE!</v>
      </c>
      <c r="R3" t="e">
        <f>MAX(0,SUM(IF(FREQUENCY(IF((R7:R31&gt;0)*($G7:$G31&lt;&gt;""),MATCH($G7:$G31,$G7:$G31,0)),ROW($G7:$G31)-ROW($G7)+1)&gt;0,1))-1)*IF(R2="双",VLOOKUP($A$1,换码设置!$A:$C,2,FALSE),IF(R2="单",VLOOKUP($A$1,换码设置!$A:$C,3,FALSE),0))</f>
        <v>#VALUE!</v>
      </c>
      <c r="S3" t="e">
        <f>MAX(0,SUM(IF(FREQUENCY(IF((S7:S31&gt;0)*($G7:$G31&lt;&gt;""),MATCH($G7:$G31,$G7:$G31,0)),ROW($G7:$G31)-ROW($G7)+1)&gt;0,1))-1)*IF(S2="双",VLOOKUP($A$1,换码设置!$A:$C,2,FALSE),IF(S2="单",VLOOKUP($A$1,换码设置!$A:$C,3,FALSE),0))</f>
        <v>#VALUE!</v>
      </c>
      <c r="T3" t="e">
        <f>MAX(0,SUM(IF(FREQUENCY(IF((T7:T31&gt;0)*($G7:$G31&lt;&gt;""),MATCH($G7:$G31,$G7:$G31,0)),ROW($G7:$G31)-ROW($G7)+1)&gt;0,1))-1)*IF(T2="双",VLOOKUP($A$1,换码设置!$A:$C,2,FALSE),IF(T2="单",VLOOKUP($A$1,换码设置!$A:$C,3,FALSE),0))</f>
        <v>#VALUE!</v>
      </c>
      <c r="U3" t="e">
        <f>MAX(0,SUM(IF(FREQUENCY(IF((U7:U31&gt;0)*($G7:$G31&lt;&gt;""),MATCH($G7:$G31,$G7:$G31,0)),ROW($G7:$G31)-ROW($G7)+1)&gt;0,1))-1)*IF(U2="双",VLOOKUP($A$1,换码设置!$A:$C,2,FALSE),IF(U2="单",VLOOKUP($A$1,换码设置!$A:$C,3,FALSE),0))</f>
        <v>#VALUE!</v>
      </c>
      <c r="V3" t="e">
        <f>MAX(0,SUM(IF(FREQUENCY(IF((V7:V31&gt;0)*($G7:$G31&lt;&gt;""),MATCH($G7:$G31,$G7:$G31,0)),ROW($G7:$G31)-ROW($G7)+1)&gt;0,1))-1)*IF(V2="双",VLOOKUP($A$1,换码设置!$A:$C,2,FALSE),IF(V2="单",VLOOKUP($A$1,换码设置!$A:$C,3,FALSE),0))</f>
        <v>#VALUE!</v>
      </c>
      <c r="W3" t="e">
        <f>MAX(0,SUM(IF(FREQUENCY(IF((W7:W31&gt;0)*($G7:$G31&lt;&gt;""),MATCH($G7:$G31,$G7:$G31,0)),ROW($G7:$G31)-ROW($G7)+1)&gt;0,1))-1)*IF(W2="双",VLOOKUP($A$1,换码设置!$A:$C,2,FALSE),IF(W2="单",VLOOKUP($A$1,换码设置!$A:$C,3,FALSE),0))</f>
        <v>#VALUE!</v>
      </c>
      <c r="X3" t="e">
        <f>MAX(0,SUM(IF(FREQUENCY(IF((X7:X31&gt;0)*($G7:$G31&lt;&gt;""),MATCH($G7:$G31,$G7:$G31,0)),ROW($G7:$G31)-ROW($G7)+1)&gt;0,1))-1)*IF(X2="双",VLOOKUP($A$1,换码设置!$A:$C,2,FALSE),IF(X2="单",VLOOKUP($A$1,换码设置!$A:$C,3,FALSE),0))</f>
        <v>#VALUE!</v>
      </c>
      <c r="Y3" t="e">
        <f>MAX(0,SUM(IF(FREQUENCY(IF((Y7:Y31&gt;0)*($G7:$G31&lt;&gt;""),MATCH($G7:$G31,$G7:$G31,0)),ROW($G7:$G31)-ROW($G7)+1)&gt;0,1))-1)*IF(Y2="双",VLOOKUP($A$1,换码设置!$A:$C,2,FALSE),IF(Y2="单",VLOOKUP($A$1,换码设置!$A:$C,3,FALSE),0))</f>
        <v>#VALUE!</v>
      </c>
      <c r="Z3" t="e">
        <f>MAX(0,SUM(IF(FREQUENCY(IF((Z7:Z31&gt;0)*($G7:$G31&lt;&gt;""),MATCH($G7:$G31,$G7:$G31,0)),ROW($G7:$G31)-ROW($G7)+1)&gt;0,1))-1)*IF(Z2="双",VLOOKUP($A$1,换码设置!$A:$C,2,FALSE),IF(Z2="单",VLOOKUP($A$1,换码设置!$A:$C,3,FALSE),0))</f>
        <v>#VALUE!</v>
      </c>
      <c r="AA3" t="e">
        <f>MAX(0,SUM(IF(FREQUENCY(IF((AA7:AA31&gt;0)*($G7:$G31&lt;&gt;""),MATCH($G7:$G31,$G7:$G31,0)),ROW($G7:$G31)-ROW($G7)+1)&gt;0,1))-1)*IF(AA2="双",VLOOKUP($A$1,换码设置!$A:$C,2,FALSE),IF(AA2="单",VLOOKUP($A$1,换码设置!$A:$C,3,FALSE),0))</f>
        <v>#VALUE!</v>
      </c>
      <c r="AB3" t="e">
        <f>MAX(0,SUM(IF(FREQUENCY(IF((AB7:AB31&gt;0)*($G7:$G31&lt;&gt;""),MATCH($G7:$G31,$G7:$G31,0)),ROW($G7:$G31)-ROW($G7)+1)&gt;0,1))-1)*IF(AB2="双",VLOOKUP($A$1,换码设置!$A:$C,2,FALSE),IF(AB2="单",VLOOKUP($A$1,换码设置!$A:$C,3,FALSE),0))</f>
        <v>#VALUE!</v>
      </c>
      <c r="AC3" t="e">
        <f>MAX(0,SUM(IF(FREQUENCY(IF((AC7:AC31&gt;0)*($G7:$G31&lt;&gt;""),MATCH($G7:$G31,$G7:$G31,0)),ROW($G7:$G31)-ROW($G7)+1)&gt;0,1))-1)*IF(AC2="双",VLOOKUP($A$1,换码设置!$A:$C,2,FALSE),IF(AC2="单",VLOOKUP($A$1,换码设置!$A:$C,3,FALSE),0))</f>
        <v>#VALUE!</v>
      </c>
      <c r="AD3" t="e">
        <f>MAX(0,SUM(IF(FREQUENCY(IF((AD7:AD31&gt;0)*($G7:$G31&lt;&gt;""),MATCH($G7:$G31,$G7:$G31,0)),ROW($G7:$G31)-ROW($G7)+1)&gt;0,1))-1)*IF(AD2="双",VLOOKUP($A$1,换码设置!$A:$C,2,FALSE),IF(AD2="单",VLOOKUP($A$1,换码设置!$A:$C,3,FALSE),0))</f>
        <v>#VALUE!</v>
      </c>
      <c r="AE3" t="e">
        <f>MAX(0,SUM(IF(FREQUENCY(IF((AE7:AE31&gt;0)*($G7:$G31&lt;&gt;""),MATCH($G7:$G31,$G7:$G31,0)),ROW($G7:$G31)-ROW($G7)+1)&gt;0,1))-1)*IF(AE2="双",VLOOKUP($A$1,换码设置!$A:$C,2,FALSE),IF(AE2="单",VLOOKUP($A$1,换码设置!$A:$C,3,FALSE),0))</f>
        <v>#VALUE!</v>
      </c>
      <c r="AF3" t="e">
        <f>MAX(0,SUM(IF(FREQUENCY(IF((AF7:AF31&gt;0)*($G7:$G31&lt;&gt;""),MATCH($G7:$G31,$G7:$G31,0)),ROW($G7:$G31)-ROW($G7)+1)&gt;0,1))-1)*IF(AF2="双",VLOOKUP($A$1,换码设置!$A:$C,2,FALSE),IF(AF2="单",VLOOKUP($A$1,换码设置!$A:$C,3,FALSE),0))</f>
        <v>#VALUE!</v>
      </c>
      <c r="AG3" t="e">
        <f>MAX(0,SUM(IF(FREQUENCY(IF((AG7:AG31&gt;0)*($G7:$G31&lt;&gt;""),MATCH($G7:$G31,$G7:$G31,0)),ROW($G7:$G31)-ROW($G7)+1)&gt;0,1))-1)*IF(AG2="双",VLOOKUP($A$1,换码设置!$A:$C,2,FALSE),IF(AG2="单",VLOOKUP($A$1,换码设置!$A:$C,3,FALSE),0))</f>
        <v>#VALUE!</v>
      </c>
      <c r="AH3" t="e">
        <f>MAX(0,SUM(IF(FREQUENCY(IF((AH7:AH31&gt;0)*($G7:$G31&lt;&gt;""),MATCH($G7:$G31,$G7:$G31,0)),ROW($G7:$G31)-ROW($G7)+1)&gt;0,1))-1)*IF(AH2="双",VLOOKUP($A$1,换码设置!$A:$C,2,FALSE),IF(AH2="单",VLOOKUP($A$1,换码设置!$A:$C,3,FALSE),0))</f>
        <v>#VALUE!</v>
      </c>
      <c r="AI3" t="e">
        <f>MAX(0,SUM(IF(FREQUENCY(IF((AI7:AI31&gt;0)*($G7:$G31&lt;&gt;""),MATCH($G7:$G31,$G7:$G31,0)),ROW($G7:$G31)-ROW($G7)+1)&gt;0,1))-1)*IF(AI2="双",VLOOKUP($A$1,换码设置!$A:$C,2,FALSE),IF(AI2="单",VLOOKUP($A$1,换码设置!$A:$C,3,FALSE),0))</f>
        <v>#VALUE!</v>
      </c>
      <c r="AJ3" t="e">
        <f>MAX(0,SUM(IF(FREQUENCY(IF((AJ7:AJ31&gt;0)*($G7:$G31&lt;&gt;""),MATCH($G7:$G31,$G7:$G31,0)),ROW($G7:$G31)-ROW($G7)+1)&gt;0,1))-1)*IF(AJ2="双",VLOOKUP($A$1,换码设置!$A:$C,2,FALSE),IF(AJ2="单",VLOOKUP($A$1,换码设置!$A:$C,3,FALSE),0))</f>
        <v>#VALUE!</v>
      </c>
      <c r="AK3" t="e">
        <f>MAX(0,SUM(IF(FREQUENCY(IF((AK7:AK31&gt;0)*($G7:$G31&lt;&gt;""),MATCH($G7:$G31,$G7:$G31,0)),ROW($G7:$G31)-ROW($G7)+1)&gt;0,1))-1)*IF(AK2="双",VLOOKUP($A$1,换码设置!$A:$C,2,FALSE),IF(AK2="单",VLOOKUP($A$1,换码设置!$A:$C,3,FALSE),0))</f>
        <v>#VALUE!</v>
      </c>
      <c r="AL3" t="e">
        <f>MAX(0,SUM(IF(FREQUENCY(IF((AL7:AL31&gt;0)*($G7:$G31&lt;&gt;""),MATCH($G7:$G31,$G7:$G31,0)),ROW($G7:$G31)-ROW($G7)+1)&gt;0,1))-1)*IF(AL2="双",VLOOKUP($A$1,换码设置!$A:$C,2,FALSE),IF(AL2="单",VLOOKUP($A$1,换码设置!$A:$C,3,FALSE),0))</f>
        <v>#VALUE!</v>
      </c>
      <c r="AM3" t="e">
        <f>MAX(0,SUM(IF(FREQUENCY(IF((AM7:AM31&gt;0)*($G7:$G31&lt;&gt;""),MATCH($G7:$G31,$G7:$G31,0)),ROW($G7:$G31)-ROW($G7)+1)&gt;0,1))-1)*IF(AM2="双",VLOOKUP($A$1,换码设置!$A:$C,2,FALSE),IF(AM2="单",VLOOKUP($A$1,换码设置!$A:$C,3,FALSE),0))</f>
        <v>#VALUE!</v>
      </c>
      <c r="AN3" t="e">
        <f>MAX(0,SUM(IF(FREQUENCY(IF((AN7:AN31&gt;0)*($G7:$G31&lt;&gt;""),MATCH($G7:$G31,$G7:$G31,0)),ROW($G7:$G31)-ROW($G7)+1)&gt;0,1))-1)*IF(AN2="双",VLOOKUP($A$1,换码设置!$A:$C,2,FALSE),IF(AN2="单",VLOOKUP($A$1,换码设置!$A:$C,3,FALSE),0))</f>
        <v>#VALUE!</v>
      </c>
      <c r="AO3" t="e">
        <f>MAX(0,SUM(IF(FREQUENCY(IF((AO7:AO31&gt;0)*($G7:$G31&lt;&gt;""),MATCH($G7:$G31,$G7:$G31,0)),ROW($G7:$G31)-ROW($G7)+1)&gt;0,1))-1)*IF(AO2="双",VLOOKUP($A$1,换码设置!$A:$C,2,FALSE),IF(AO2="单",VLOOKUP($A$1,换码设置!$A:$C,3,FALSE),0))</f>
        <v>#VALUE!</v>
      </c>
      <c r="AP3" t="e">
        <f>MAX(0,SUM(IF(FREQUENCY(IF((AP7:AP31&gt;0)*($G7:$G31&lt;&gt;""),MATCH($G7:$G31,$G7:$G31,0)),ROW($G7:$G31)-ROW($G7)+1)&gt;0,1))-1)*IF(AP2="双",VLOOKUP($A$1,换码设置!$A:$C,2,FALSE),IF(AP2="单",VLOOKUP($A$1,换码设置!$A:$C,3,FALSE),0))</f>
        <v>#VALUE!</v>
      </c>
      <c r="AQ3" t="e">
        <f>MAX(0,SUM(IF(FREQUENCY(IF((AQ7:AQ31&gt;0)*($G7:$G31&lt;&gt;""),MATCH($G7:$G31,$G7:$G31,0)),ROW($G7:$G31)-ROW($G7)+1)&gt;0,1))-1)*IF(AQ2="双",VLOOKUP($A$1,换码设置!$A:$C,2,FALSE),IF(AQ2="单",VLOOKUP($A$1,换码设置!$A:$C,3,FALSE),0))</f>
        <v>#VALUE!</v>
      </c>
      <c r="AR3" t="e">
        <f>MAX(0,SUM(IF(FREQUENCY(IF((AR7:AR31&gt;0)*($G7:$G31&lt;&gt;""),MATCH($G7:$G31,$G7:$G31,0)),ROW($G7:$G31)-ROW($G7)+1)&gt;0,1))-1)*IF(AR2="双",VLOOKUP($A$1,换码设置!$A:$C,2,FALSE),IF(AR2="单",VLOOKUP($A$1,换码设置!$A:$C,3,FALSE),0))</f>
        <v>#VALUE!</v>
      </c>
      <c r="AS3" t="e">
        <f>MAX(0,SUM(IF(FREQUENCY(IF((AS7:AS31&gt;0)*($G7:$G31&lt;&gt;""),MATCH($G7:$G31,$G7:$G31,0)),ROW($G7:$G31)-ROW($G7)+1)&gt;0,1))-1)*IF(AS2="双",VLOOKUP($A$1,换码设置!$A:$C,2,FALSE),IF(AS2="单",VLOOKUP($A$1,换码设置!$A:$C,3,FALSE),0))</f>
        <v>#VALUE!</v>
      </c>
      <c r="AT3" t="e">
        <f>MAX(0,SUM(IF(FREQUENCY(IF((AT7:AT31&gt;0)*($G7:$G31&lt;&gt;""),MATCH($G7:$G31,$G7:$G31,0)),ROW($G7:$G31)-ROW($G7)+1)&gt;0,1))-1)*IF(AT2="双",VLOOKUP($A$1,换码设置!$A:$C,2,FALSE),IF(AT2="单",VLOOKUP($A$1,换码设置!$A:$C,3,FALSE),0))</f>
        <v>#VALUE!</v>
      </c>
      <c r="AU3" t="e">
        <f>MAX(0,SUM(IF(FREQUENCY(IF((AU7:AU31&gt;0)*($G7:$G31&lt;&gt;""),MATCH($G7:$G31,$G7:$G31,0)),ROW($G7:$G31)-ROW($G7)+1)&gt;0,1))-1)*IF(AU2="双",VLOOKUP($A$1,换码设置!$A:$C,2,FALSE),IF(AU2="单",VLOOKUP($A$1,换码设置!$A:$C,3,FALSE),0))</f>
        <v>#VALUE!</v>
      </c>
      <c r="AV3" t="e">
        <f>MAX(0,SUM(IF(FREQUENCY(IF((AV7:AV31&gt;0)*($G7:$G31&lt;&gt;""),MATCH($G7:$G31,$G7:$G31,0)),ROW($G7:$G31)-ROW($G7)+1)&gt;0,1))-1)*IF(AV2="双",VLOOKUP($A$1,换码设置!$A:$C,2,FALSE),IF(AV2="单",VLOOKUP($A$1,换码设置!$A:$C,3,FALSE),0))</f>
        <v>#VALUE!</v>
      </c>
      <c r="AW3" t="e">
        <f>MAX(0,SUM(IF(FREQUENCY(IF((AW7:AW31&gt;0)*($G7:$G31&lt;&gt;""),MATCH($G7:$G31,$G7:$G31,0)),ROW($G7:$G31)-ROW($G7)+1)&gt;0,1))-1)*IF(AW2="双",VLOOKUP($A$1,换码设置!$A:$C,2,FALSE),IF(AW2="单",VLOOKUP($A$1,换码设置!$A:$C,3,FALSE),0))</f>
        <v>#VALUE!</v>
      </c>
      <c r="AX3" t="e">
        <f>MAX(0,SUM(IF(FREQUENCY(IF((AX7:AX31&gt;0)*($G7:$G31&lt;&gt;""),MATCH($G7:$G31,$G7:$G31,0)),ROW($G7:$G31)-ROW($G7)+1)&gt;0,1))-1)*IF(AX2="双",VLOOKUP($A$1,换码设置!$A:$C,2,FALSE),IF(AX2="单",VLOOKUP($A$1,换码设置!$A:$C,3,FALSE),0))</f>
        <v>#VALUE!</v>
      </c>
      <c r="AY3" t="e">
        <f>MAX(0,SUM(IF(FREQUENCY(IF((AY7:AY31&gt;0)*($G7:$G31&lt;&gt;""),MATCH($G7:$G31,$G7:$G31,0)),ROW($G7:$G31)-ROW($G7)+1)&gt;0,1))-1)*IF(AY2="双",VLOOKUP($A$1,换码设置!$A:$C,2,FALSE),IF(AY2="单",VLOOKUP($A$1,换码设置!$A:$C,3,FALSE),0))</f>
        <v>#VALUE!</v>
      </c>
      <c r="AZ3" t="e">
        <f>MAX(0,SUM(IF(FREQUENCY(IF((AZ7:AZ31&gt;0)*($G7:$G31&lt;&gt;""),MATCH($G7:$G31,$G7:$G31,0)),ROW($G7:$G31)-ROW($G7)+1)&gt;0,1))-1)*IF(AZ2="双",VLOOKUP($A$1,换码设置!$A:$C,2,FALSE),IF(AZ2="单",VLOOKUP($A$1,换码设置!$A:$C,3,FALSE),0))</f>
        <v>#VALUE!</v>
      </c>
      <c r="BA3" t="e">
        <f>MAX(0,SUM(IF(FREQUENCY(IF((BA7:BA31&gt;0)*($G7:$G31&lt;&gt;""),MATCH($G7:$G31,$G7:$G31,0)),ROW($G7:$G31)-ROW($G7)+1)&gt;0,1))-1)*IF(BA2="双",VLOOKUP($A$1,换码设置!$A:$C,2,FALSE),IF(BA2="单",VLOOKUP($A$1,换码设置!$A:$C,3,FALSE),0))</f>
        <v>#VALUE!</v>
      </c>
      <c r="BB3" t="e">
        <f>MAX(0,SUM(IF(FREQUENCY(IF((BB7:BB31&gt;0)*($G7:$G31&lt;&gt;""),MATCH($G7:$G31,$G7:$G31,0)),ROW($G7:$G31)-ROW($G7)+1)&gt;0,1))-1)*IF(BB2="双",VLOOKUP($A$1,换码设置!$A:$C,2,FALSE),IF(BB2="单",VLOOKUP($A$1,换码设置!$A:$C,3,FALSE),0))</f>
        <v>#VALUE!</v>
      </c>
      <c r="BC3" t="e">
        <f>MAX(0,SUM(IF(FREQUENCY(IF((BC7:BC31&gt;0)*($G7:$G31&lt;&gt;""),MATCH($G7:$G31,$G7:$G31,0)),ROW($G7:$G31)-ROW($G7)+1)&gt;0,1))-1)*IF(BC2="双",VLOOKUP($A$1,换码设置!$A:$C,2,FALSE),IF(BC2="单",VLOOKUP($A$1,换码设置!$A:$C,3,FALSE),0))</f>
        <v>#VALUE!</v>
      </c>
      <c r="BD3" t="e">
        <f>MAX(0,SUM(IF(FREQUENCY(IF((BD7:BD31&gt;0)*($G7:$G31&lt;&gt;""),MATCH($G7:$G31,$G7:$G31,0)),ROW($G7:$G31)-ROW($G7)+1)&gt;0,1))-1)*IF(BD2="双",VLOOKUP($A$1,换码设置!$A:$C,2,FALSE),IF(BD2="单",VLOOKUP($A$1,换码设置!$A:$C,3,FALSE),0))</f>
        <v>#VALUE!</v>
      </c>
      <c r="BE3" t="e">
        <f>MAX(0,SUM(IF(FREQUENCY(IF((BE7:BE31&gt;0)*($G7:$G31&lt;&gt;""),MATCH($G7:$G31,$G7:$G31,0)),ROW($G7:$G31)-ROW($G7)+1)&gt;0,1))-1)*IF(BE2="双",VLOOKUP($A$1,换码设置!$A:$C,2,FALSE),IF(BE2="单",VLOOKUP($A$1,换码设置!$A:$C,3,FALSE),0))</f>
        <v>#VALUE!</v>
      </c>
      <c r="BF3" t="e">
        <f>MAX(0,SUM(IF(FREQUENCY(IF((BF7:BF31&gt;0)*($G7:$G31&lt;&gt;""),MATCH($G7:$G31,$G7:$G31,0)),ROW($G7:$G31)-ROW($G7)+1)&gt;0,1))-1)*IF(BF2="双",VLOOKUP($A$1,换码设置!$A:$C,2,FALSE),IF(BF2="单",VLOOKUP($A$1,换码设置!$A:$C,3,FALSE),0))</f>
        <v>#VALUE!</v>
      </c>
      <c r="BG3" t="e">
        <f>MAX(0,SUM(IF(FREQUENCY(IF((BG7:BG31&gt;0)*($G7:$G31&lt;&gt;""),MATCH($G7:$G31,$G7:$G31,0)),ROW($G7:$G31)-ROW($G7)+1)&gt;0,1))-1)*IF(BG2="双",VLOOKUP($A$1,换码设置!$A:$C,2,FALSE),IF(BG2="单",VLOOKUP($A$1,换码设置!$A:$C,3,FALSE),0))</f>
        <v>#VALUE!</v>
      </c>
      <c r="BH3" t="e">
        <f>MAX(0,SUM(IF(FREQUENCY(IF((BH7:BH31&gt;0)*($G7:$G31&lt;&gt;""),MATCH($G7:$G31,$G7:$G31,0)),ROW($G7:$G31)-ROW($G7)+1)&gt;0,1))-1)*IF(BH2="双",VLOOKUP($A$1,换码设置!$A:$C,2,FALSE),IF(BH2="单",VLOOKUP($A$1,换码设置!$A:$C,3,FALSE),0))</f>
        <v>#VALUE!</v>
      </c>
      <c r="BI3" t="e">
        <f>MAX(0,SUM(IF(FREQUENCY(IF((BI7:BI31&gt;0)*($G7:$G31&lt;&gt;""),MATCH($G7:$G31,$G7:$G31,0)),ROW($G7:$G31)-ROW($G7)+1)&gt;0,1))-1)*IF(BI2="双",VLOOKUP($A$1,换码设置!$A:$C,2,FALSE),IF(BI2="单",VLOOKUP($A$1,换码设置!$A:$C,3,FALSE),0))</f>
        <v>#VALUE!</v>
      </c>
      <c r="BJ3" t="e">
        <f>MAX(0,SUM(IF(FREQUENCY(IF((BJ7:BJ31&gt;0)*($G7:$G31&lt;&gt;""),MATCH($G7:$G31,$G7:$G31,0)),ROW($G7:$G31)-ROW($G7)+1)&gt;0,1))-1)*IF(BJ2="双",VLOOKUP($A$1,换码设置!$A:$C,2,FALSE),IF(BJ2="单",VLOOKUP($A$1,换码设置!$A:$C,3,FALSE),0))</f>
        <v>#VALUE!</v>
      </c>
      <c r="BK3" t="e">
        <f>MAX(0,SUM(IF(FREQUENCY(IF((BK7:BK31&gt;0)*($G7:$G31&lt;&gt;""),MATCH($G7:$G31,$G7:$G31,0)),ROW($G7:$G31)-ROW($G7)+1)&gt;0,1))-1)*IF(BK2="双",VLOOKUP($A$1,换码设置!$A:$C,2,FALSE),IF(BK2="单",VLOOKUP($A$1,换码设置!$A:$C,3,FALSE),0))</f>
        <v>#VALUE!</v>
      </c>
      <c r="BL3" t="e">
        <f>MAX(0,SUM(IF(FREQUENCY(IF((BL7:BL31&gt;0)*($G7:$G31&lt;&gt;""),MATCH($G7:$G31,$G7:$G31,0)),ROW($G7:$G31)-ROW($G7)+1)&gt;0,1))-1)*IF(BL2="双",VLOOKUP($A$1,换码设置!$A:$C,2,FALSE),IF(BL2="单",VLOOKUP($A$1,换码设置!$A:$C,3,FALSE),0))</f>
        <v>#VALUE!</v>
      </c>
      <c r="BM3" t="e">
        <f>MAX(0,SUM(IF(FREQUENCY(IF((BM7:BM31&gt;0)*($G7:$G31&lt;&gt;""),MATCH($G7:$G31,$G7:$G31,0)),ROW($G7:$G31)-ROW($G7)+1)&gt;0,1))-1)*IF(BM2="双",VLOOKUP($A$1,换码设置!$A:$C,2,FALSE),IF(BM2="单",VLOOKUP($A$1,换码设置!$A:$C,3,FALSE),0))</f>
        <v>#VALUE!</v>
      </c>
      <c r="BN3" t="e">
        <f>MAX(0,SUM(IF(FREQUENCY(IF((BN7:BN31&gt;0)*($G7:$G31&lt;&gt;""),MATCH($G7:$G31,$G7:$G31,0)),ROW($G7:$G31)-ROW($G7)+1)&gt;0,1))-1)*IF(BN2="双",VLOOKUP($A$1,换码设置!$A:$C,2,FALSE),IF(BN2="单",VLOOKUP($A$1,换码设置!$A:$C,3,FALSE),0))</f>
        <v>#VALUE!</v>
      </c>
      <c r="BO3" t="e">
        <f>MAX(0,SUM(IF(FREQUENCY(IF((BO7:BO31&gt;0)*($G7:$G31&lt;&gt;""),MATCH($G7:$G31,$G7:$G31,0)),ROW($G7:$G31)-ROW($G7)+1)&gt;0,1))-1)*IF(BO2="双",VLOOKUP($A$1,换码设置!$A:$C,2,FALSE),IF(BO2="单",VLOOKUP($A$1,换码设置!$A:$C,3,FALSE),0))</f>
        <v>#VALUE!</v>
      </c>
      <c r="BP3" t="e">
        <f>MAX(0,SUM(IF(FREQUENCY(IF((BP7:BP31&gt;0)*($G7:$G31&lt;&gt;""),MATCH($G7:$G31,$G7:$G31,0)),ROW($G7:$G31)-ROW($G7)+1)&gt;0,1))-1)*IF(BP2="双",VLOOKUP($A$1,换码设置!$A:$C,2,FALSE),IF(BP2="单",VLOOKUP($A$1,换码设置!$A:$C,3,FALSE),0))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0"/>
      <c r="G5" s="100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ht="17.5" customHeight="1">
      <c r="A6" s="11" t="s">
        <v>8</v>
      </c>
      <c r="B6" s="11" t="s">
        <v>371</v>
      </c>
      <c r="C6" s="11" t="s">
        <v>9</v>
      </c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ht="14" customHeight="1">
      <c r="A7" s="35" t="s">
        <v>336</v>
      </c>
      <c r="B7" s="35"/>
      <c r="C7" s="35"/>
      <c r="D7" s="19" t="s">
        <v>372</v>
      </c>
      <c r="E7" s="40" t="s">
        <v>338</v>
      </c>
      <c r="F7" s="25">
        <v>9</v>
      </c>
      <c r="G7" s="25">
        <v>16</v>
      </c>
      <c r="H7" s="41"/>
      <c r="I7" s="42"/>
      <c r="J7" s="25">
        <v>1513</v>
      </c>
      <c r="K7" s="25" t="e">
        <f t="shared" ref="K7:K13" si="2">F6*G6*J6</f>
        <v>#VALUE!</v>
      </c>
      <c r="L7" s="43">
        <v>0</v>
      </c>
      <c r="M7" s="28">
        <v>625</v>
      </c>
      <c r="N7" s="28">
        <v>625</v>
      </c>
      <c r="O7" s="28">
        <v>263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s="2" customFormat="1" ht="17.5" customHeight="1">
      <c r="A8" s="25" t="s">
        <v>336</v>
      </c>
      <c r="B8" s="25"/>
      <c r="C8" s="25"/>
      <c r="D8" s="25" t="s">
        <v>373</v>
      </c>
      <c r="E8" s="40" t="s">
        <v>338</v>
      </c>
      <c r="F8" s="25">
        <v>9</v>
      </c>
      <c r="G8" s="25">
        <v>16</v>
      </c>
      <c r="H8" s="41"/>
      <c r="I8" s="42"/>
      <c r="J8" s="25">
        <v>2000</v>
      </c>
      <c r="K8" s="25">
        <f t="shared" si="2"/>
        <v>217872</v>
      </c>
      <c r="L8" s="43">
        <v>0</v>
      </c>
      <c r="M8" s="28"/>
      <c r="N8" s="28"/>
      <c r="O8" s="28">
        <v>362</v>
      </c>
      <c r="P8" s="28">
        <v>625</v>
      </c>
      <c r="Q8" s="28"/>
      <c r="R8" s="28">
        <v>625</v>
      </c>
      <c r="S8" s="28">
        <v>388</v>
      </c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7.5" customHeight="1">
      <c r="A9" s="35" t="s">
        <v>374</v>
      </c>
      <c r="B9" s="35"/>
      <c r="C9" s="35"/>
      <c r="D9" s="35" t="s">
        <v>375</v>
      </c>
      <c r="E9" s="21" t="s">
        <v>376</v>
      </c>
      <c r="F9" s="19">
        <v>5</v>
      </c>
      <c r="G9" s="19">
        <v>12</v>
      </c>
      <c r="H9" s="36">
        <v>46094</v>
      </c>
      <c r="I9" s="23">
        <v>46127</v>
      </c>
      <c r="J9" s="19">
        <v>480</v>
      </c>
      <c r="K9" s="19">
        <f t="shared" si="2"/>
        <v>288000</v>
      </c>
      <c r="L9" s="26">
        <v>0</v>
      </c>
      <c r="M9" s="24"/>
      <c r="N9" s="24"/>
      <c r="O9" s="24"/>
      <c r="P9" s="24"/>
      <c r="Q9" s="24"/>
      <c r="R9" s="24"/>
      <c r="S9" s="24">
        <v>480</v>
      </c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</row>
    <row r="10" spans="1:68" ht="17.5" customHeight="1">
      <c r="A10" s="35" t="s">
        <v>377</v>
      </c>
      <c r="B10" s="35"/>
      <c r="C10" s="35" t="s">
        <v>378</v>
      </c>
      <c r="D10" s="44" t="s">
        <v>379</v>
      </c>
      <c r="E10" s="21" t="s">
        <v>380</v>
      </c>
      <c r="F10" s="19">
        <v>10</v>
      </c>
      <c r="G10" s="19">
        <v>10</v>
      </c>
      <c r="H10" s="36">
        <v>46120</v>
      </c>
      <c r="I10" s="23">
        <v>46151</v>
      </c>
      <c r="J10" s="19">
        <v>560</v>
      </c>
      <c r="K10" s="19">
        <f t="shared" si="2"/>
        <v>28800</v>
      </c>
      <c r="L10" s="26">
        <v>0</v>
      </c>
      <c r="M10" s="28"/>
      <c r="N10" s="28"/>
      <c r="O10" s="28"/>
      <c r="P10" s="28"/>
      <c r="Q10" s="28"/>
      <c r="R10" s="28"/>
      <c r="S10" s="28">
        <v>53</v>
      </c>
      <c r="T10" s="28">
        <v>507</v>
      </c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7.5" customHeight="1">
      <c r="A11" s="19" t="s">
        <v>336</v>
      </c>
      <c r="B11" s="19"/>
      <c r="C11" s="19"/>
      <c r="D11" s="35" t="s">
        <v>381</v>
      </c>
      <c r="E11" s="21" t="s">
        <v>338</v>
      </c>
      <c r="F11" s="19">
        <v>9</v>
      </c>
      <c r="G11" s="19">
        <v>16</v>
      </c>
      <c r="H11" s="36"/>
      <c r="I11" s="23"/>
      <c r="J11" s="19">
        <v>4000</v>
      </c>
      <c r="K11" s="19">
        <f t="shared" si="2"/>
        <v>56000</v>
      </c>
      <c r="L11" s="26">
        <v>0</v>
      </c>
      <c r="M11" s="28"/>
      <c r="N11" s="28"/>
      <c r="O11" s="28"/>
      <c r="P11" s="28"/>
      <c r="Q11" s="28"/>
      <c r="R11" s="28"/>
      <c r="S11" s="28"/>
      <c r="T11" s="28">
        <v>273</v>
      </c>
      <c r="U11" s="28">
        <v>625</v>
      </c>
      <c r="V11" s="28">
        <v>625</v>
      </c>
      <c r="W11" s="28">
        <v>625</v>
      </c>
      <c r="X11" s="28"/>
      <c r="Y11" s="28">
        <v>625</v>
      </c>
      <c r="Z11" s="28">
        <v>625</v>
      </c>
      <c r="AA11" s="28">
        <v>602</v>
      </c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ht="17.5" customHeight="1">
      <c r="A12" s="35" t="s">
        <v>382</v>
      </c>
      <c r="B12" s="35"/>
      <c r="C12" s="35" t="s">
        <v>383</v>
      </c>
      <c r="D12" s="35" t="s">
        <v>384</v>
      </c>
      <c r="E12" s="21" t="s">
        <v>385</v>
      </c>
      <c r="F12" s="19">
        <v>10</v>
      </c>
      <c r="G12" s="19">
        <v>5</v>
      </c>
      <c r="H12" s="36">
        <v>46139</v>
      </c>
      <c r="I12" s="23">
        <v>46152</v>
      </c>
      <c r="J12" s="19">
        <v>500</v>
      </c>
      <c r="K12" s="19">
        <f t="shared" si="2"/>
        <v>576000</v>
      </c>
      <c r="L12" s="26">
        <v>0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>
        <v>66</v>
      </c>
      <c r="AB12" s="28">
        <v>434</v>
      </c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ht="18" customHeight="1">
      <c r="A13" s="35" t="s">
        <v>386</v>
      </c>
      <c r="B13" s="35"/>
      <c r="C13" s="35"/>
      <c r="D13" s="35"/>
      <c r="E13" s="21" t="s">
        <v>387</v>
      </c>
      <c r="F13" s="19">
        <v>30</v>
      </c>
      <c r="G13" s="19">
        <v>6</v>
      </c>
      <c r="H13" s="36"/>
      <c r="I13" s="23"/>
      <c r="J13" s="19">
        <v>200</v>
      </c>
      <c r="K13" s="19">
        <f t="shared" si="2"/>
        <v>25000</v>
      </c>
      <c r="L13" s="26">
        <v>0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>
        <v>200</v>
      </c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  <row r="14" spans="1:68"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  <row r="15" spans="1:68"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</row>
    <row r="16" spans="1:68"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8"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8" ht="16" customHeight="1">
      <c r="A18"/>
      <c r="B18"/>
      <c r="C18"/>
      <c r="D18"/>
      <c r="E18"/>
      <c r="F18"/>
      <c r="G18"/>
      <c r="H18"/>
      <c r="I18"/>
      <c r="J18"/>
      <c r="K18"/>
      <c r="L1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</row>
    <row r="19" spans="1:68" ht="17" customHeight="1">
      <c r="A19" s="35" t="s">
        <v>388</v>
      </c>
      <c r="B19" s="35">
        <v>31048</v>
      </c>
      <c r="C19" s="35" t="s">
        <v>389</v>
      </c>
      <c r="D19" s="44" t="s">
        <v>390</v>
      </c>
      <c r="E19" s="21" t="s">
        <v>391</v>
      </c>
      <c r="F19" s="19">
        <v>50</v>
      </c>
      <c r="G19" s="19">
        <v>4</v>
      </c>
      <c r="H19" s="36">
        <v>46078</v>
      </c>
      <c r="I19" s="23">
        <v>46101</v>
      </c>
      <c r="J19" s="19">
        <v>1222</v>
      </c>
      <c r="K19" s="19">
        <f t="shared" ref="K19:K31" si="3">F18*G18*J18</f>
        <v>0</v>
      </c>
      <c r="L19" s="26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  <row r="20" spans="1:68" ht="17" customHeight="1">
      <c r="A20" s="35" t="s">
        <v>388</v>
      </c>
      <c r="B20" s="35">
        <v>32808</v>
      </c>
      <c r="C20" s="35" t="s">
        <v>392</v>
      </c>
      <c r="D20" s="45" t="s">
        <v>393</v>
      </c>
      <c r="E20" s="40" t="s">
        <v>391</v>
      </c>
      <c r="F20" s="25">
        <v>50</v>
      </c>
      <c r="G20" s="25">
        <v>4</v>
      </c>
      <c r="H20" s="41">
        <v>46078</v>
      </c>
      <c r="I20" s="42">
        <v>46111</v>
      </c>
      <c r="J20" s="25">
        <v>1100</v>
      </c>
      <c r="K20" s="25">
        <f t="shared" si="3"/>
        <v>244400</v>
      </c>
      <c r="L20" s="43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</row>
    <row r="21" spans="1:68" ht="16" customHeight="1">
      <c r="A21" s="35" t="s">
        <v>394</v>
      </c>
      <c r="B21" s="35">
        <v>32805</v>
      </c>
      <c r="C21" s="35" t="s">
        <v>395</v>
      </c>
      <c r="D21" s="45" t="s">
        <v>396</v>
      </c>
      <c r="E21" s="40" t="s">
        <v>397</v>
      </c>
      <c r="F21" s="25">
        <v>50</v>
      </c>
      <c r="G21" s="25">
        <v>6</v>
      </c>
      <c r="H21" s="41">
        <v>46078</v>
      </c>
      <c r="I21" s="42">
        <v>46106</v>
      </c>
      <c r="J21" s="25">
        <v>1233</v>
      </c>
      <c r="K21" s="25">
        <f t="shared" si="3"/>
        <v>220000</v>
      </c>
      <c r="L21" s="43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</row>
    <row r="22" spans="1:68" ht="16" customHeight="1">
      <c r="A22" s="35" t="s">
        <v>394</v>
      </c>
      <c r="B22" s="35">
        <v>32806</v>
      </c>
      <c r="C22" s="35" t="s">
        <v>398</v>
      </c>
      <c r="D22" s="45" t="s">
        <v>399</v>
      </c>
      <c r="E22" s="40" t="s">
        <v>397</v>
      </c>
      <c r="F22" s="25">
        <v>50</v>
      </c>
      <c r="G22" s="25">
        <v>6</v>
      </c>
      <c r="H22" s="41">
        <v>46078</v>
      </c>
      <c r="I22" s="42">
        <v>46111</v>
      </c>
      <c r="J22" s="25">
        <v>1233</v>
      </c>
      <c r="K22" s="25">
        <f t="shared" si="3"/>
        <v>369900</v>
      </c>
      <c r="L22" s="43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</row>
    <row r="23" spans="1:68" ht="17.5" customHeight="1">
      <c r="A23" s="35" t="s">
        <v>394</v>
      </c>
      <c r="B23" s="35">
        <v>32807</v>
      </c>
      <c r="C23" s="35" t="s">
        <v>400</v>
      </c>
      <c r="D23" s="45" t="s">
        <v>401</v>
      </c>
      <c r="E23" s="40" t="s">
        <v>397</v>
      </c>
      <c r="F23" s="25">
        <v>50</v>
      </c>
      <c r="G23" s="25">
        <v>6</v>
      </c>
      <c r="H23" s="41">
        <v>46078</v>
      </c>
      <c r="I23" s="42">
        <v>46111</v>
      </c>
      <c r="J23" s="25">
        <v>1233</v>
      </c>
      <c r="K23" s="25">
        <f t="shared" si="3"/>
        <v>369900</v>
      </c>
      <c r="L23" s="43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</row>
    <row r="24" spans="1:68" ht="17.5" customHeight="1">
      <c r="A24" s="35" t="s">
        <v>394</v>
      </c>
      <c r="B24" s="35">
        <v>32662</v>
      </c>
      <c r="C24" s="35" t="s">
        <v>402</v>
      </c>
      <c r="D24" s="45" t="s">
        <v>403</v>
      </c>
      <c r="E24" s="40" t="s">
        <v>397</v>
      </c>
      <c r="F24" s="25">
        <v>50</v>
      </c>
      <c r="G24" s="25">
        <v>6</v>
      </c>
      <c r="H24" s="41">
        <v>46078</v>
      </c>
      <c r="I24" s="42">
        <v>46122</v>
      </c>
      <c r="J24" s="25">
        <v>1233</v>
      </c>
      <c r="K24" s="25">
        <f t="shared" si="3"/>
        <v>369900</v>
      </c>
      <c r="L24" s="43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</row>
    <row r="25" spans="1:68" ht="17.5" customHeight="1">
      <c r="A25" s="35" t="s">
        <v>394</v>
      </c>
      <c r="B25" s="35">
        <v>32664</v>
      </c>
      <c r="C25" s="35" t="s">
        <v>404</v>
      </c>
      <c r="D25" s="45" t="s">
        <v>405</v>
      </c>
      <c r="E25" s="40" t="s">
        <v>397</v>
      </c>
      <c r="F25" s="25">
        <v>50</v>
      </c>
      <c r="G25" s="25">
        <v>6</v>
      </c>
      <c r="H25" s="41">
        <v>46078</v>
      </c>
      <c r="I25" s="42">
        <v>46148</v>
      </c>
      <c r="J25" s="25">
        <v>1233</v>
      </c>
      <c r="K25" s="25">
        <f t="shared" si="3"/>
        <v>369900</v>
      </c>
      <c r="L25" s="43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</row>
    <row r="26" spans="1:68" ht="17.5" customHeight="1">
      <c r="A26" s="35" t="s">
        <v>394</v>
      </c>
      <c r="B26" s="35">
        <v>33108</v>
      </c>
      <c r="C26" s="35" t="s">
        <v>406</v>
      </c>
      <c r="D26" s="45" t="s">
        <v>407</v>
      </c>
      <c r="E26" s="40" t="s">
        <v>397</v>
      </c>
      <c r="F26" s="25">
        <v>50</v>
      </c>
      <c r="G26" s="25">
        <v>6</v>
      </c>
      <c r="H26" s="41">
        <v>46084</v>
      </c>
      <c r="I26" s="42">
        <v>46160</v>
      </c>
      <c r="J26" s="25">
        <v>1233</v>
      </c>
      <c r="K26" s="25">
        <f t="shared" si="3"/>
        <v>369900</v>
      </c>
      <c r="L26" s="43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</row>
    <row r="27" spans="1:68" ht="17.5" customHeight="1">
      <c r="A27" s="35" t="s">
        <v>388</v>
      </c>
      <c r="B27" s="35">
        <v>32660</v>
      </c>
      <c r="C27" s="35" t="s">
        <v>408</v>
      </c>
      <c r="D27" s="45" t="s">
        <v>409</v>
      </c>
      <c r="E27" s="40" t="s">
        <v>391</v>
      </c>
      <c r="F27" s="25">
        <v>50</v>
      </c>
      <c r="G27" s="25">
        <v>4</v>
      </c>
      <c r="H27" s="41">
        <v>46078</v>
      </c>
      <c r="I27" s="42">
        <v>46122</v>
      </c>
      <c r="J27" s="25">
        <v>1187</v>
      </c>
      <c r="K27" s="25">
        <f t="shared" si="3"/>
        <v>369900</v>
      </c>
      <c r="L27" s="43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</row>
    <row r="28" spans="1:68" ht="17.5" customHeight="1">
      <c r="A28" s="35" t="s">
        <v>388</v>
      </c>
      <c r="B28" s="35">
        <v>32663</v>
      </c>
      <c r="C28" s="35" t="s">
        <v>410</v>
      </c>
      <c r="D28" s="45" t="s">
        <v>411</v>
      </c>
      <c r="E28" s="40" t="s">
        <v>391</v>
      </c>
      <c r="F28" s="25">
        <v>50</v>
      </c>
      <c r="G28" s="25">
        <v>4</v>
      </c>
      <c r="H28" s="41">
        <v>46078</v>
      </c>
      <c r="I28" s="42">
        <v>46139</v>
      </c>
      <c r="J28" s="25">
        <v>1187</v>
      </c>
      <c r="K28" s="25">
        <f t="shared" si="3"/>
        <v>237400</v>
      </c>
      <c r="L28" s="43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</row>
    <row r="29" spans="1:68" s="2" customFormat="1" ht="17.5" customHeight="1">
      <c r="A29" s="35" t="s">
        <v>388</v>
      </c>
      <c r="B29" s="35">
        <v>33109</v>
      </c>
      <c r="C29" s="35" t="s">
        <v>412</v>
      </c>
      <c r="D29" s="45" t="s">
        <v>413</v>
      </c>
      <c r="E29" s="40" t="s">
        <v>391</v>
      </c>
      <c r="F29" s="25">
        <v>50</v>
      </c>
      <c r="G29" s="25">
        <v>4</v>
      </c>
      <c r="H29" s="41">
        <v>46084</v>
      </c>
      <c r="I29" s="42">
        <v>46160</v>
      </c>
      <c r="J29" s="25">
        <v>1270</v>
      </c>
      <c r="K29" s="25">
        <f t="shared" si="3"/>
        <v>237400</v>
      </c>
      <c r="L29" s="43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</row>
    <row r="30" spans="1:68" ht="17" customHeight="1">
      <c r="A30" s="35" t="s">
        <v>414</v>
      </c>
      <c r="B30" s="35"/>
      <c r="C30" s="35"/>
      <c r="D30" s="45" t="s">
        <v>415</v>
      </c>
      <c r="E30" s="40" t="s">
        <v>416</v>
      </c>
      <c r="F30" s="25">
        <v>2</v>
      </c>
      <c r="G30" s="25">
        <v>32</v>
      </c>
      <c r="H30" s="41"/>
      <c r="I30" s="42"/>
      <c r="J30" s="25">
        <v>100</v>
      </c>
      <c r="K30" s="25">
        <f t="shared" si="3"/>
        <v>254000</v>
      </c>
      <c r="L30" s="43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</row>
    <row r="31" spans="1:68" ht="18" customHeight="1">
      <c r="A31" s="35" t="s">
        <v>417</v>
      </c>
      <c r="B31" s="35"/>
      <c r="C31" s="35" t="s">
        <v>418</v>
      </c>
      <c r="D31" s="45" t="s">
        <v>419</v>
      </c>
      <c r="E31" s="40" t="s">
        <v>420</v>
      </c>
      <c r="F31" s="25">
        <v>5</v>
      </c>
      <c r="G31" s="25">
        <v>12</v>
      </c>
      <c r="H31" s="41">
        <v>12</v>
      </c>
      <c r="I31" s="42">
        <v>46068</v>
      </c>
      <c r="J31" s="25">
        <v>285</v>
      </c>
      <c r="K31" s="25">
        <f t="shared" si="3"/>
        <v>6400</v>
      </c>
      <c r="L31" s="43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</row>
  </sheetData>
  <mergeCells count="3">
    <mergeCell ref="A1:H4"/>
    <mergeCell ref="I3:J4"/>
    <mergeCell ref="F5:G5"/>
  </mergeCells>
  <phoneticPr fontId="19" type="noConversion"/>
  <conditionalFormatting sqref="D6">
    <cfRule type="cellIs" dxfId="107" priority="1" stopIfTrue="1" operator="equal">
      <formula>"C-B&gt;10"</formula>
    </cfRule>
    <cfRule type="cellIs" dxfId="106" priority="2" stopIfTrue="1" operator="equal">
      <formula>"C-B&gt;30"</formula>
    </cfRule>
  </conditionalFormatting>
  <dataValidations count="1">
    <dataValidation type="list" allowBlank="1" showInputMessage="1" showErrorMessage="1" sqref="M2:BP2" xr:uid="{00000000-0002-0000-0800-000000000000}">
      <formula1>"单,双"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P9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13.5" style="91" customWidth="1"/>
    <col min="3" max="3" width="14.1640625" style="91" customWidth="1"/>
    <col min="4" max="4" width="19.5" style="91" customWidth="1"/>
    <col min="5" max="5" width="40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4.1640625" style="91" customWidth="1"/>
    <col min="13" max="22" width="10.1640625" style="91" customWidth="1"/>
    <col min="23" max="37" width="9" style="91" customWidth="1"/>
    <col min="38" max="68" width="10.1640625" style="91" customWidth="1"/>
  </cols>
  <sheetData>
    <row r="1" spans="1:68" s="1" customFormat="1" ht="16.25" customHeight="1">
      <c r="A1" s="99" t="s">
        <v>130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500000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1000000</v>
      </c>
      <c r="K2" s="5" t="s">
        <v>137</v>
      </c>
      <c r="L2" s="7" t="e">
        <f>SUM(#REF!)</f>
        <v>#REF!</v>
      </c>
      <c r="M2" s="8" t="s">
        <v>5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MAX(0,SUM(IF(FREQUENCY(IF((M7:M9&gt;0)*($G7:$G9&lt;&gt;""),MATCH($G7:$G9,$G7:$G9,0)),ROW($G7:$G9)-ROW($G7)+1)&gt;0,1))-1)*IF(M2="双",VLOOKUP($A$1,换码设置!$A:$C,2,FALSE),IF(M2="单",VLOOKUP($A$1,换码设置!$A:$C,3,FALSE),0))</f>
        <v>#VALUE!</v>
      </c>
      <c r="N3" t="e">
        <f>MAX(0,SUM(IF(FREQUENCY(IF((N7:N9&gt;0)*($G7:$G9&lt;&gt;""),MATCH($G7:$G9,$G7:$G9,0)),ROW($G7:$G9)-ROW($G7)+1)&gt;0,1))-1)*IF(N2="双",VLOOKUP($A$1,换码设置!$A:$C,2,FALSE),IF(N2="单",VLOOKUP($A$1,换码设置!$A:$C,3,FALSE),0))</f>
        <v>#VALUE!</v>
      </c>
      <c r="O3" t="e">
        <f>MAX(0,SUM(IF(FREQUENCY(IF((O7:O9&gt;0)*($G7:$G9&lt;&gt;""),MATCH($G7:$G9,$G7:$G9,0)),ROW($G7:$G9)-ROW($G7)+1)&gt;0,1))-1)*IF(O2="双",VLOOKUP($A$1,换码设置!$A:$C,2,FALSE),IF(O2="单",VLOOKUP($A$1,换码设置!$A:$C,3,FALSE),0))</f>
        <v>#VALUE!</v>
      </c>
      <c r="P3" t="e">
        <f>MAX(0,SUM(IF(FREQUENCY(IF((P7:P9&gt;0)*($G7:$G9&lt;&gt;""),MATCH($G7:$G9,$G7:$G9,0)),ROW($G7:$G9)-ROW($G7)+1)&gt;0,1))-1)*IF(P2="双",VLOOKUP($A$1,换码设置!$A:$C,2,FALSE),IF(P2="单",VLOOKUP($A$1,换码设置!$A:$C,3,FALSE),0))</f>
        <v>#VALUE!</v>
      </c>
      <c r="Q3" t="e">
        <f>MAX(0,SUM(IF(FREQUENCY(IF((Q7:Q9&gt;0)*($G7:$G9&lt;&gt;""),MATCH($G7:$G9,$G7:$G9,0)),ROW($G7:$G9)-ROW($G7)+1)&gt;0,1))-1)*IF(Q2="双",VLOOKUP($A$1,换码设置!$A:$C,2,FALSE),IF(Q2="单",VLOOKUP($A$1,换码设置!$A:$C,3,FALSE),0))</f>
        <v>#VALUE!</v>
      </c>
      <c r="R3" t="e">
        <f>MAX(0,SUM(IF(FREQUENCY(IF((R7:R9&gt;0)*($G7:$G9&lt;&gt;""),MATCH($G7:$G9,$G7:$G9,0)),ROW($G7:$G9)-ROW($G7)+1)&gt;0,1))-1)*IF(R2="双",VLOOKUP($A$1,换码设置!$A:$C,2,FALSE),IF(R2="单",VLOOKUP($A$1,换码设置!$A:$C,3,FALSE),0))</f>
        <v>#VALUE!</v>
      </c>
      <c r="S3" t="e">
        <f>MAX(0,SUM(IF(FREQUENCY(IF((S7:S9&gt;0)*($G7:$G9&lt;&gt;""),MATCH($G7:$G9,$G7:$G9,0)),ROW($G7:$G9)-ROW($G7)+1)&gt;0,1))-1)*IF(S2="双",VLOOKUP($A$1,换码设置!$A:$C,2,FALSE),IF(S2="单",VLOOKUP($A$1,换码设置!$A:$C,3,FALSE),0))</f>
        <v>#VALUE!</v>
      </c>
      <c r="T3" t="e">
        <f>MAX(0,SUM(IF(FREQUENCY(IF((T7:T9&gt;0)*($G7:$G9&lt;&gt;""),MATCH($G7:$G9,$G7:$G9,0)),ROW($G7:$G9)-ROW($G7)+1)&gt;0,1))-1)*IF(T2="双",VLOOKUP($A$1,换码设置!$A:$C,2,FALSE),IF(T2="单",VLOOKUP($A$1,换码设置!$A:$C,3,FALSE),0))</f>
        <v>#VALUE!</v>
      </c>
      <c r="U3" t="e">
        <f>MAX(0,SUM(IF(FREQUENCY(IF((U7:U9&gt;0)*($G7:$G9&lt;&gt;""),MATCH($G7:$G9,$G7:$G9,0)),ROW($G7:$G9)-ROW($G7)+1)&gt;0,1))-1)*IF(U2="双",VLOOKUP($A$1,换码设置!$A:$C,2,FALSE),IF(U2="单",VLOOKUP($A$1,换码设置!$A:$C,3,FALSE),0))</f>
        <v>#VALUE!</v>
      </c>
      <c r="V3" t="e">
        <f>MAX(0,SUM(IF(FREQUENCY(IF((V7:V9&gt;0)*($G7:$G9&lt;&gt;""),MATCH($G7:$G9,$G7:$G9,0)),ROW($G7:$G9)-ROW($G7)+1)&gt;0,1))-1)*IF(V2="双",VLOOKUP($A$1,换码设置!$A:$C,2,FALSE),IF(V2="单",VLOOKUP($A$1,换码设置!$A:$C,3,FALSE),0))</f>
        <v>#VALUE!</v>
      </c>
      <c r="W3" t="e">
        <f>MAX(0,SUM(IF(FREQUENCY(IF((W7:W9&gt;0)*($G7:$G9&lt;&gt;""),MATCH($G7:$G9,$G7:$G9,0)),ROW($G7:$G9)-ROW($G7)+1)&gt;0,1))-1)*IF(W2="双",VLOOKUP($A$1,换码设置!$A:$C,2,FALSE),IF(W2="单",VLOOKUP($A$1,换码设置!$A:$C,3,FALSE),0))</f>
        <v>#VALUE!</v>
      </c>
      <c r="X3" t="e">
        <f>MAX(0,SUM(IF(FREQUENCY(IF((X7:X9&gt;0)*($G7:$G9&lt;&gt;""),MATCH($G7:$G9,$G7:$G9,0)),ROW($G7:$G9)-ROW($G7)+1)&gt;0,1))-1)*IF(X2="双",VLOOKUP($A$1,换码设置!$A:$C,2,FALSE),IF(X2="单",VLOOKUP($A$1,换码设置!$A:$C,3,FALSE),0))</f>
        <v>#VALUE!</v>
      </c>
      <c r="Y3" t="e">
        <f>MAX(0,SUM(IF(FREQUENCY(IF((Y7:Y9&gt;0)*($G7:$G9&lt;&gt;""),MATCH($G7:$G9,$G7:$G9,0)),ROW($G7:$G9)-ROW($G7)+1)&gt;0,1))-1)*IF(Y2="双",VLOOKUP($A$1,换码设置!$A:$C,2,FALSE),IF(Y2="单",VLOOKUP($A$1,换码设置!$A:$C,3,FALSE),0))</f>
        <v>#VALUE!</v>
      </c>
      <c r="Z3" t="e">
        <f>MAX(0,SUM(IF(FREQUENCY(IF((Z7:Z9&gt;0)*($G7:$G9&lt;&gt;""),MATCH($G7:$G9,$G7:$G9,0)),ROW($G7:$G9)-ROW($G7)+1)&gt;0,1))-1)*IF(Z2="双",VLOOKUP($A$1,换码设置!$A:$C,2,FALSE),IF(Z2="单",VLOOKUP($A$1,换码设置!$A:$C,3,FALSE),0))</f>
        <v>#VALUE!</v>
      </c>
      <c r="AA3" t="e">
        <f>MAX(0,SUM(IF(FREQUENCY(IF((AA7:AA9&gt;0)*($G7:$G9&lt;&gt;""),MATCH($G7:$G9,$G7:$G9,0)),ROW($G7:$G9)-ROW($G7)+1)&gt;0,1))-1)*IF(AA2="双",VLOOKUP($A$1,换码设置!$A:$C,2,FALSE),IF(AA2="单",VLOOKUP($A$1,换码设置!$A:$C,3,FALSE),0))</f>
        <v>#VALUE!</v>
      </c>
      <c r="AB3" t="e">
        <f>MAX(0,SUM(IF(FREQUENCY(IF((AB7:AB9&gt;0)*($G7:$G9&lt;&gt;""),MATCH($G7:$G9,$G7:$G9,0)),ROW($G7:$G9)-ROW($G7)+1)&gt;0,1))-1)*IF(AB2="双",VLOOKUP($A$1,换码设置!$A:$C,2,FALSE),IF(AB2="单",VLOOKUP($A$1,换码设置!$A:$C,3,FALSE),0))</f>
        <v>#VALUE!</v>
      </c>
      <c r="AC3" t="e">
        <f>MAX(0,SUM(IF(FREQUENCY(IF((AC7:AC9&gt;0)*($G7:$G9&lt;&gt;""),MATCH($G7:$G9,$G7:$G9,0)),ROW($G7:$G9)-ROW($G7)+1)&gt;0,1))-1)*IF(AC2="双",VLOOKUP($A$1,换码设置!$A:$C,2,FALSE),IF(AC2="单",VLOOKUP($A$1,换码设置!$A:$C,3,FALSE),0))</f>
        <v>#VALUE!</v>
      </c>
      <c r="AD3" t="e">
        <f>MAX(0,SUM(IF(FREQUENCY(IF((AD7:AD9&gt;0)*($G7:$G9&lt;&gt;""),MATCH($G7:$G9,$G7:$G9,0)),ROW($G7:$G9)-ROW($G7)+1)&gt;0,1))-1)*IF(AD2="双",VLOOKUP($A$1,换码设置!$A:$C,2,FALSE),IF(AD2="单",VLOOKUP($A$1,换码设置!$A:$C,3,FALSE),0))</f>
        <v>#VALUE!</v>
      </c>
      <c r="AE3" t="e">
        <f>MAX(0,SUM(IF(FREQUENCY(IF((AE7:AE9&gt;0)*($G7:$G9&lt;&gt;""),MATCH($G7:$G9,$G7:$G9,0)),ROW($G7:$G9)-ROW($G7)+1)&gt;0,1))-1)*IF(AE2="双",VLOOKUP($A$1,换码设置!$A:$C,2,FALSE),IF(AE2="单",VLOOKUP($A$1,换码设置!$A:$C,3,FALSE),0))</f>
        <v>#VALUE!</v>
      </c>
      <c r="AF3" t="e">
        <f>MAX(0,SUM(IF(FREQUENCY(IF((AF7:AF9&gt;0)*($G7:$G9&lt;&gt;""),MATCH($G7:$G9,$G7:$G9,0)),ROW($G7:$G9)-ROW($G7)+1)&gt;0,1))-1)*IF(AF2="双",VLOOKUP($A$1,换码设置!$A:$C,2,FALSE),IF(AF2="单",VLOOKUP($A$1,换码设置!$A:$C,3,FALSE),0))</f>
        <v>#VALUE!</v>
      </c>
      <c r="AG3" t="e">
        <f>MAX(0,SUM(IF(FREQUENCY(IF((AG7:AG9&gt;0)*($G7:$G9&lt;&gt;""),MATCH($G7:$G9,$G7:$G9,0)),ROW($G7:$G9)-ROW($G7)+1)&gt;0,1))-1)*IF(AG2="双",VLOOKUP($A$1,换码设置!$A:$C,2,FALSE),IF(AG2="单",VLOOKUP($A$1,换码设置!$A:$C,3,FALSE),0))</f>
        <v>#VALUE!</v>
      </c>
      <c r="AH3" t="e">
        <f>MAX(0,SUM(IF(FREQUENCY(IF((AH7:AH9&gt;0)*($G7:$G9&lt;&gt;""),MATCH($G7:$G9,$G7:$G9,0)),ROW($G7:$G9)-ROW($G7)+1)&gt;0,1))-1)*IF(AH2="双",VLOOKUP($A$1,换码设置!$A:$C,2,FALSE),IF(AH2="单",VLOOKUP($A$1,换码设置!$A:$C,3,FALSE),0))</f>
        <v>#VALUE!</v>
      </c>
      <c r="AI3" t="e">
        <f>MAX(0,SUM(IF(FREQUENCY(IF((AI7:AI9&gt;0)*($G7:$G9&lt;&gt;""),MATCH($G7:$G9,$G7:$G9,0)),ROW($G7:$G9)-ROW($G7)+1)&gt;0,1))-1)*IF(AI2="双",VLOOKUP($A$1,换码设置!$A:$C,2,FALSE),IF(AI2="单",VLOOKUP($A$1,换码设置!$A:$C,3,FALSE),0))</f>
        <v>#VALUE!</v>
      </c>
      <c r="AJ3" t="e">
        <f>MAX(0,SUM(IF(FREQUENCY(IF((AJ7:AJ9&gt;0)*($G7:$G9&lt;&gt;""),MATCH($G7:$G9,$G7:$G9,0)),ROW($G7:$G9)-ROW($G7)+1)&gt;0,1))-1)*IF(AJ2="双",VLOOKUP($A$1,换码设置!$A:$C,2,FALSE),IF(AJ2="单",VLOOKUP($A$1,换码设置!$A:$C,3,FALSE),0))</f>
        <v>#VALUE!</v>
      </c>
      <c r="AK3" t="e">
        <f>MAX(0,SUM(IF(FREQUENCY(IF((AK7:AK9&gt;0)*($G7:$G9&lt;&gt;""),MATCH($G7:$G9,$G7:$G9,0)),ROW($G7:$G9)-ROW($G7)+1)&gt;0,1))-1)*IF(AK2="双",VLOOKUP($A$1,换码设置!$A:$C,2,FALSE),IF(AK2="单",VLOOKUP($A$1,换码设置!$A:$C,3,FALSE),0))</f>
        <v>#VALUE!</v>
      </c>
      <c r="AL3" t="e">
        <f>MAX(0,SUM(IF(FREQUENCY(IF((AL7:AL9&gt;0)*($G7:$G9&lt;&gt;""),MATCH($G7:$G9,$G7:$G9,0)),ROW($G7:$G9)-ROW($G7)+1)&gt;0,1))-1)*IF(AL2="双",VLOOKUP($A$1,换码设置!$A:$C,2,FALSE),IF(AL2="单",VLOOKUP($A$1,换码设置!$A:$C,3,FALSE),0))</f>
        <v>#VALUE!</v>
      </c>
      <c r="AM3" t="e">
        <f>MAX(0,SUM(IF(FREQUENCY(IF((AM7:AM9&gt;0)*($G7:$G9&lt;&gt;""),MATCH($G7:$G9,$G7:$G9,0)),ROW($G7:$G9)-ROW($G7)+1)&gt;0,1))-1)*IF(AM2="双",VLOOKUP($A$1,换码设置!$A:$C,2,FALSE),IF(AM2="单",VLOOKUP($A$1,换码设置!$A:$C,3,FALSE),0))</f>
        <v>#VALUE!</v>
      </c>
      <c r="AN3" t="e">
        <f>MAX(0,SUM(IF(FREQUENCY(IF((AN7:AN9&gt;0)*($G7:$G9&lt;&gt;""),MATCH($G7:$G9,$G7:$G9,0)),ROW($G7:$G9)-ROW($G7)+1)&gt;0,1))-1)*IF(AN2="双",VLOOKUP($A$1,换码设置!$A:$C,2,FALSE),IF(AN2="单",VLOOKUP($A$1,换码设置!$A:$C,3,FALSE),0))</f>
        <v>#VALUE!</v>
      </c>
      <c r="AO3" t="e">
        <f>MAX(0,SUM(IF(FREQUENCY(IF((AO7:AO9&gt;0)*($G7:$G9&lt;&gt;""),MATCH($G7:$G9,$G7:$G9,0)),ROW($G7:$G9)-ROW($G7)+1)&gt;0,1))-1)*IF(AO2="双",VLOOKUP($A$1,换码设置!$A:$C,2,FALSE),IF(AO2="单",VLOOKUP($A$1,换码设置!$A:$C,3,FALSE),0))</f>
        <v>#VALUE!</v>
      </c>
      <c r="AP3" t="e">
        <f>MAX(0,SUM(IF(FREQUENCY(IF((AP7:AP9&gt;0)*($G7:$G9&lt;&gt;""),MATCH($G7:$G9,$G7:$G9,0)),ROW($G7:$G9)-ROW($G7)+1)&gt;0,1))-1)*IF(AP2="双",VLOOKUP($A$1,换码设置!$A:$C,2,FALSE),IF(AP2="单",VLOOKUP($A$1,换码设置!$A:$C,3,FALSE),0))</f>
        <v>#VALUE!</v>
      </c>
      <c r="AQ3" t="e">
        <f>MAX(0,SUM(IF(FREQUENCY(IF((AQ7:AQ9&gt;0)*($G7:$G9&lt;&gt;""),MATCH($G7:$G9,$G7:$G9,0)),ROW($G7:$G9)-ROW($G7)+1)&gt;0,1))-1)*IF(AQ2="双",VLOOKUP($A$1,换码设置!$A:$C,2,FALSE),IF(AQ2="单",VLOOKUP($A$1,换码设置!$A:$C,3,FALSE),0))</f>
        <v>#VALUE!</v>
      </c>
      <c r="AR3" t="e">
        <f>MAX(0,SUM(IF(FREQUENCY(IF((AR7:AR9&gt;0)*($G7:$G9&lt;&gt;""),MATCH($G7:$G9,$G7:$G9,0)),ROW($G7:$G9)-ROW($G7)+1)&gt;0,1))-1)*IF(AR2="双",VLOOKUP($A$1,换码设置!$A:$C,2,FALSE),IF(AR2="单",VLOOKUP($A$1,换码设置!$A:$C,3,FALSE),0))</f>
        <v>#VALUE!</v>
      </c>
      <c r="AS3" t="e">
        <f>MAX(0,SUM(IF(FREQUENCY(IF((AS7:AS9&gt;0)*($G7:$G9&lt;&gt;""),MATCH($G7:$G9,$G7:$G9,0)),ROW($G7:$G9)-ROW($G7)+1)&gt;0,1))-1)*IF(AS2="双",VLOOKUP($A$1,换码设置!$A:$C,2,FALSE),IF(AS2="单",VLOOKUP($A$1,换码设置!$A:$C,3,FALSE),0))</f>
        <v>#VALUE!</v>
      </c>
      <c r="AT3" t="e">
        <f>MAX(0,SUM(IF(FREQUENCY(IF((AT7:AT9&gt;0)*($G7:$G9&lt;&gt;""),MATCH($G7:$G9,$G7:$G9,0)),ROW($G7:$G9)-ROW($G7)+1)&gt;0,1))-1)*IF(AT2="双",VLOOKUP($A$1,换码设置!$A:$C,2,FALSE),IF(AT2="单",VLOOKUP($A$1,换码设置!$A:$C,3,FALSE),0))</f>
        <v>#VALUE!</v>
      </c>
      <c r="AU3" t="e">
        <f>MAX(0,SUM(IF(FREQUENCY(IF((AU7:AU9&gt;0)*($G7:$G9&lt;&gt;""),MATCH($G7:$G9,$G7:$G9,0)),ROW($G7:$G9)-ROW($G7)+1)&gt;0,1))-1)*IF(AU2="双",VLOOKUP($A$1,换码设置!$A:$C,2,FALSE),IF(AU2="单",VLOOKUP($A$1,换码设置!$A:$C,3,FALSE),0))</f>
        <v>#VALUE!</v>
      </c>
      <c r="AV3" t="e">
        <f>MAX(0,SUM(IF(FREQUENCY(IF((AV7:AV9&gt;0)*($G7:$G9&lt;&gt;""),MATCH($G7:$G9,$G7:$G9,0)),ROW($G7:$G9)-ROW($G7)+1)&gt;0,1))-1)*IF(AV2="双",VLOOKUP($A$1,换码设置!$A:$C,2,FALSE),IF(AV2="单",VLOOKUP($A$1,换码设置!$A:$C,3,FALSE),0))</f>
        <v>#VALUE!</v>
      </c>
      <c r="AW3" t="e">
        <f>MAX(0,SUM(IF(FREQUENCY(IF((AW7:AW9&gt;0)*($G7:$G9&lt;&gt;""),MATCH($G7:$G9,$G7:$G9,0)),ROW($G7:$G9)-ROW($G7)+1)&gt;0,1))-1)*IF(AW2="双",VLOOKUP($A$1,换码设置!$A:$C,2,FALSE),IF(AW2="单",VLOOKUP($A$1,换码设置!$A:$C,3,FALSE),0))</f>
        <v>#VALUE!</v>
      </c>
      <c r="AX3" t="e">
        <f>MAX(0,SUM(IF(FREQUENCY(IF((AX7:AX9&gt;0)*($G7:$G9&lt;&gt;""),MATCH($G7:$G9,$G7:$G9,0)),ROW($G7:$G9)-ROW($G7)+1)&gt;0,1))-1)*IF(AX2="双",VLOOKUP($A$1,换码设置!$A:$C,2,FALSE),IF(AX2="单",VLOOKUP($A$1,换码设置!$A:$C,3,FALSE),0))</f>
        <v>#VALUE!</v>
      </c>
      <c r="AY3" t="e">
        <f>MAX(0,SUM(IF(FREQUENCY(IF((AY7:AY9&gt;0)*($G7:$G9&lt;&gt;""),MATCH($G7:$G9,$G7:$G9,0)),ROW($G7:$G9)-ROW($G7)+1)&gt;0,1))-1)*IF(AY2="双",VLOOKUP($A$1,换码设置!$A:$C,2,FALSE),IF(AY2="单",VLOOKUP($A$1,换码设置!$A:$C,3,FALSE),0))</f>
        <v>#VALUE!</v>
      </c>
      <c r="AZ3" t="e">
        <f>MAX(0,SUM(IF(FREQUENCY(IF((AZ7:AZ9&gt;0)*($G7:$G9&lt;&gt;""),MATCH($G7:$G9,$G7:$G9,0)),ROW($G7:$G9)-ROW($G7)+1)&gt;0,1))-1)*IF(AZ2="双",VLOOKUP($A$1,换码设置!$A:$C,2,FALSE),IF(AZ2="单",VLOOKUP($A$1,换码设置!$A:$C,3,FALSE),0))</f>
        <v>#VALUE!</v>
      </c>
      <c r="BA3" t="e">
        <f>MAX(0,SUM(IF(FREQUENCY(IF((BA7:BA9&gt;0)*($G7:$G9&lt;&gt;""),MATCH($G7:$G9,$G7:$G9,0)),ROW($G7:$G9)-ROW($G7)+1)&gt;0,1))-1)*IF(BA2="双",VLOOKUP($A$1,换码设置!$A:$C,2,FALSE),IF(BA2="单",VLOOKUP($A$1,换码设置!$A:$C,3,FALSE),0))</f>
        <v>#VALUE!</v>
      </c>
      <c r="BB3" t="e">
        <f>MAX(0,SUM(IF(FREQUENCY(IF((BB7:BB9&gt;0)*($G7:$G9&lt;&gt;""),MATCH($G7:$G9,$G7:$G9,0)),ROW($G7:$G9)-ROW($G7)+1)&gt;0,1))-1)*IF(BB2="双",VLOOKUP($A$1,换码设置!$A:$C,2,FALSE),IF(BB2="单",VLOOKUP($A$1,换码设置!$A:$C,3,FALSE),0))</f>
        <v>#VALUE!</v>
      </c>
      <c r="BC3" t="e">
        <f>MAX(0,SUM(IF(FREQUENCY(IF((BC7:BC9&gt;0)*($G7:$G9&lt;&gt;""),MATCH($G7:$G9,$G7:$G9,0)),ROW($G7:$G9)-ROW($G7)+1)&gt;0,1))-1)*IF(BC2="双",VLOOKUP($A$1,换码设置!$A:$C,2,FALSE),IF(BC2="单",VLOOKUP($A$1,换码设置!$A:$C,3,FALSE),0))</f>
        <v>#VALUE!</v>
      </c>
      <c r="BD3" t="e">
        <f>MAX(0,SUM(IF(FREQUENCY(IF((BD7:BD9&gt;0)*($G7:$G9&lt;&gt;""),MATCH($G7:$G9,$G7:$G9,0)),ROW($G7:$G9)-ROW($G7)+1)&gt;0,1))-1)*IF(BD2="双",VLOOKUP($A$1,换码设置!$A:$C,2,FALSE),IF(BD2="单",VLOOKUP($A$1,换码设置!$A:$C,3,FALSE),0))</f>
        <v>#VALUE!</v>
      </c>
      <c r="BE3" t="e">
        <f>MAX(0,SUM(IF(FREQUENCY(IF((BE7:BE9&gt;0)*($G7:$G9&lt;&gt;""),MATCH($G7:$G9,$G7:$G9,0)),ROW($G7:$G9)-ROW($G7)+1)&gt;0,1))-1)*IF(BE2="双",VLOOKUP($A$1,换码设置!$A:$C,2,FALSE),IF(BE2="单",VLOOKUP($A$1,换码设置!$A:$C,3,FALSE),0))</f>
        <v>#VALUE!</v>
      </c>
      <c r="BF3" t="e">
        <f>MAX(0,SUM(IF(FREQUENCY(IF((BF7:BF9&gt;0)*($G7:$G9&lt;&gt;""),MATCH($G7:$G9,$G7:$G9,0)),ROW($G7:$G9)-ROW($G7)+1)&gt;0,1))-1)*IF(BF2="双",VLOOKUP($A$1,换码设置!$A:$C,2,FALSE),IF(BF2="单",VLOOKUP($A$1,换码设置!$A:$C,3,FALSE),0))</f>
        <v>#VALUE!</v>
      </c>
      <c r="BG3" t="e">
        <f>MAX(0,SUM(IF(FREQUENCY(IF((BG7:BG9&gt;0)*($G7:$G9&lt;&gt;""),MATCH($G7:$G9,$G7:$G9,0)),ROW($G7:$G9)-ROW($G7)+1)&gt;0,1))-1)*IF(BG2="双",VLOOKUP($A$1,换码设置!$A:$C,2,FALSE),IF(BG2="单",VLOOKUP($A$1,换码设置!$A:$C,3,FALSE),0))</f>
        <v>#VALUE!</v>
      </c>
      <c r="BH3" t="e">
        <f>MAX(0,SUM(IF(FREQUENCY(IF((BH7:BH9&gt;0)*($G7:$G9&lt;&gt;""),MATCH($G7:$G9,$G7:$G9,0)),ROW($G7:$G9)-ROW($G7)+1)&gt;0,1))-1)*IF(BH2="双",VLOOKUP($A$1,换码设置!$A:$C,2,FALSE),IF(BH2="单",VLOOKUP($A$1,换码设置!$A:$C,3,FALSE),0))</f>
        <v>#VALUE!</v>
      </c>
      <c r="BI3" t="e">
        <f>MAX(0,SUM(IF(FREQUENCY(IF((BI7:BI9&gt;0)*($G7:$G9&lt;&gt;""),MATCH($G7:$G9,$G7:$G9,0)),ROW($G7:$G9)-ROW($G7)+1)&gt;0,1))-1)*IF(BI2="双",VLOOKUP($A$1,换码设置!$A:$C,2,FALSE),IF(BI2="单",VLOOKUP($A$1,换码设置!$A:$C,3,FALSE),0))</f>
        <v>#VALUE!</v>
      </c>
      <c r="BJ3" t="e">
        <f>MAX(0,SUM(IF(FREQUENCY(IF((BJ7:BJ9&gt;0)*($G7:$G9&lt;&gt;""),MATCH($G7:$G9,$G7:$G9,0)),ROW($G7:$G9)-ROW($G7)+1)&gt;0,1))-1)*IF(BJ2="双",VLOOKUP($A$1,换码设置!$A:$C,2,FALSE),IF(BJ2="单",VLOOKUP($A$1,换码设置!$A:$C,3,FALSE),0))</f>
        <v>#VALUE!</v>
      </c>
      <c r="BK3" t="e">
        <f>MAX(0,SUM(IF(FREQUENCY(IF((BK7:BK9&gt;0)*($G7:$G9&lt;&gt;""),MATCH($G7:$G9,$G7:$G9,0)),ROW($G7:$G9)-ROW($G7)+1)&gt;0,1))-1)*IF(BK2="双",VLOOKUP($A$1,换码设置!$A:$C,2,FALSE),IF(BK2="单",VLOOKUP($A$1,换码设置!$A:$C,3,FALSE),0))</f>
        <v>#VALUE!</v>
      </c>
      <c r="BL3" t="e">
        <f>MAX(0,SUM(IF(FREQUENCY(IF((BL7:BL9&gt;0)*($G7:$G9&lt;&gt;""),MATCH($G7:$G9,$G7:$G9,0)),ROW($G7:$G9)-ROW($G7)+1)&gt;0,1))-1)*IF(BL2="双",VLOOKUP($A$1,换码设置!$A:$C,2,FALSE),IF(BL2="单",VLOOKUP($A$1,换码设置!$A:$C,3,FALSE),0))</f>
        <v>#VALUE!</v>
      </c>
      <c r="BM3" t="e">
        <f>MAX(0,SUM(IF(FREQUENCY(IF((BM7:BM9&gt;0)*($G7:$G9&lt;&gt;""),MATCH($G7:$G9,$G7:$G9,0)),ROW($G7:$G9)-ROW($G7)+1)&gt;0,1))-1)*IF(BM2="双",VLOOKUP($A$1,换码设置!$A:$C,2,FALSE),IF(BM2="单",VLOOKUP($A$1,换码设置!$A:$C,3,FALSE),0))</f>
        <v>#VALUE!</v>
      </c>
      <c r="BN3" t="e">
        <f>MAX(0,SUM(IF(FREQUENCY(IF((BN7:BN9&gt;0)*($G7:$G9&lt;&gt;""),MATCH($G7:$G9,$G7:$G9,0)),ROW($G7:$G9)-ROW($G7)+1)&gt;0,1))-1)*IF(BN2="双",VLOOKUP($A$1,换码设置!$A:$C,2,FALSE),IF(BN2="单",VLOOKUP($A$1,换码设置!$A:$C,3,FALSE),0))</f>
        <v>#VALUE!</v>
      </c>
      <c r="BO3" t="e">
        <f>MAX(0,SUM(IF(FREQUENCY(IF((BO7:BO9&gt;0)*($G7:$G9&lt;&gt;""),MATCH($G7:$G9,$G7:$G9,0)),ROW($G7:$G9)-ROW($G7)+1)&gt;0,1))-1)*IF(BO2="双",VLOOKUP($A$1,换码设置!$A:$C,2,FALSE),IF(BO2="单",VLOOKUP($A$1,换码设置!$A:$C,3,FALSE),0))</f>
        <v>#VALUE!</v>
      </c>
      <c r="BP3" t="e">
        <f>MAX(0,SUM(IF(FREQUENCY(IF((BP7:BP9&gt;0)*($G7:$G9&lt;&gt;""),MATCH($G7:$G9,$G7:$G9,0)),ROW($G7:$G9)-ROW($G7)+1)&gt;0,1))-1)*IF(BP2="双",VLOOKUP($A$1,换码设置!$A:$C,2,FALSE),IF(BP2="单",VLOOKUP($A$1,换码设置!$A:$C,3,FALSE),0))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0"/>
      <c r="G5" s="100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ht="15.5" customHeight="1">
      <c r="A7" s="19" t="s">
        <v>421</v>
      </c>
      <c r="B7" s="19"/>
      <c r="C7" s="19" t="s">
        <v>422</v>
      </c>
      <c r="D7" s="25" t="s">
        <v>423</v>
      </c>
      <c r="E7" s="21" t="s">
        <v>424</v>
      </c>
      <c r="F7" s="19">
        <v>60</v>
      </c>
      <c r="G7" s="19">
        <v>12</v>
      </c>
      <c r="H7" s="36">
        <v>45909</v>
      </c>
      <c r="I7" s="36">
        <v>46143</v>
      </c>
      <c r="J7" s="19">
        <v>4315</v>
      </c>
      <c r="K7" s="19" t="e">
        <f>F6*G6*J6</f>
        <v>#VALUE!</v>
      </c>
      <c r="L7" s="19">
        <v>0</v>
      </c>
      <c r="M7" s="28">
        <v>1389</v>
      </c>
      <c r="N7" s="28">
        <v>1389</v>
      </c>
      <c r="O7" s="28">
        <v>1389</v>
      </c>
      <c r="P7" s="28">
        <v>148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19" t="s">
        <v>421</v>
      </c>
      <c r="B8" s="19"/>
      <c r="C8" s="19" t="s">
        <v>425</v>
      </c>
      <c r="D8" s="25" t="s">
        <v>426</v>
      </c>
      <c r="E8" s="21" t="s">
        <v>424</v>
      </c>
      <c r="F8" s="19">
        <v>60</v>
      </c>
      <c r="G8" s="19">
        <v>12</v>
      </c>
      <c r="H8" s="36">
        <v>45909</v>
      </c>
      <c r="I8" s="36">
        <v>46153</v>
      </c>
      <c r="J8" s="19">
        <v>4184</v>
      </c>
      <c r="K8" s="19">
        <f>F7*G7*J7</f>
        <v>3106800</v>
      </c>
      <c r="L8" s="19">
        <v>0</v>
      </c>
      <c r="M8" s="28"/>
      <c r="N8" s="28"/>
      <c r="O8" s="28"/>
      <c r="P8" s="28">
        <v>1241</v>
      </c>
      <c r="Q8" s="28"/>
      <c r="R8" s="28">
        <v>1389</v>
      </c>
      <c r="S8" s="28">
        <v>1389</v>
      </c>
      <c r="T8" s="28">
        <v>165</v>
      </c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7" customHeight="1">
      <c r="A9" s="19" t="s">
        <v>421</v>
      </c>
      <c r="B9" s="19"/>
      <c r="C9" s="19" t="s">
        <v>427</v>
      </c>
      <c r="D9" s="25" t="s">
        <v>428</v>
      </c>
      <c r="E9" s="21" t="s">
        <v>424</v>
      </c>
      <c r="F9" s="19">
        <v>60</v>
      </c>
      <c r="G9" s="19">
        <v>12</v>
      </c>
      <c r="H9" s="36">
        <v>45909</v>
      </c>
      <c r="I9" s="36">
        <v>46153</v>
      </c>
      <c r="J9" s="19">
        <v>1627</v>
      </c>
      <c r="K9" s="19">
        <f>F8*G8*J8</f>
        <v>3012480</v>
      </c>
      <c r="L9" s="19">
        <v>0</v>
      </c>
      <c r="M9" s="28"/>
      <c r="N9" s="28"/>
      <c r="O9" s="28"/>
      <c r="P9" s="28"/>
      <c r="Q9" s="28"/>
      <c r="R9" s="28"/>
      <c r="S9" s="28"/>
      <c r="T9" s="28">
        <v>1224</v>
      </c>
      <c r="U9" s="28">
        <v>403</v>
      </c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900-000000000000}">
      <formula1>"单,双"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P13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E30" sqref="E30"/>
    </sheetView>
  </sheetViews>
  <sheetFormatPr baseColWidth="10" defaultColWidth="8.83203125" defaultRowHeight="15"/>
  <cols>
    <col min="1" max="1" width="11.83203125" style="91" customWidth="1"/>
    <col min="2" max="2" width="14.1640625" style="91" customWidth="1"/>
    <col min="3" max="3" width="26.33203125" style="91" customWidth="1"/>
    <col min="4" max="4" width="24.1640625" style="91" customWidth="1"/>
    <col min="5" max="5" width="42.83203125" style="91" customWidth="1"/>
    <col min="6" max="7" width="8.8320312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3.6640625" style="91" customWidth="1"/>
    <col min="13" max="68" width="9" style="91" customWidth="1"/>
  </cols>
  <sheetData>
    <row r="1" spans="1:68" s="1" customFormat="1" ht="16.25" customHeight="1">
      <c r="A1" s="99" t="s">
        <v>131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170000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350000</v>
      </c>
      <c r="K2" s="5" t="s">
        <v>137</v>
      </c>
      <c r="L2" s="7" t="e">
        <f>SUM(#REF!)</f>
        <v>#REF!</v>
      </c>
      <c r="M2" s="8" t="s">
        <v>197</v>
      </c>
      <c r="N2" s="8" t="s">
        <v>197</v>
      </c>
      <c r="O2" s="8" t="s">
        <v>197</v>
      </c>
      <c r="P2" s="8" t="s">
        <v>197</v>
      </c>
      <c r="Q2" s="8" t="s">
        <v>197</v>
      </c>
      <c r="R2" s="8" t="s">
        <v>197</v>
      </c>
      <c r="S2" s="8" t="s">
        <v>197</v>
      </c>
      <c r="T2" s="8" t="s">
        <v>197</v>
      </c>
      <c r="U2" s="8" t="s">
        <v>197</v>
      </c>
      <c r="V2" s="8" t="s">
        <v>197</v>
      </c>
      <c r="W2" s="8" t="s">
        <v>197</v>
      </c>
      <c r="X2" s="8" t="s">
        <v>197</v>
      </c>
      <c r="Y2" s="8" t="s">
        <v>197</v>
      </c>
      <c r="Z2" s="8" t="s">
        <v>197</v>
      </c>
      <c r="AA2" s="8" t="s">
        <v>197</v>
      </c>
      <c r="AB2" s="8" t="s">
        <v>197</v>
      </c>
      <c r="AC2" s="8" t="s">
        <v>197</v>
      </c>
      <c r="AD2" s="8" t="s">
        <v>197</v>
      </c>
      <c r="AE2" s="8" t="s">
        <v>197</v>
      </c>
      <c r="AF2" s="8" t="s">
        <v>197</v>
      </c>
      <c r="AG2" s="8" t="s">
        <v>197</v>
      </c>
      <c r="AH2" s="8" t="s">
        <v>197</v>
      </c>
      <c r="AI2" s="8" t="s">
        <v>197</v>
      </c>
      <c r="AJ2" s="8" t="s">
        <v>197</v>
      </c>
      <c r="AK2" s="8" t="s">
        <v>197</v>
      </c>
      <c r="AL2" s="8" t="s">
        <v>197</v>
      </c>
      <c r="AM2" s="8" t="s">
        <v>197</v>
      </c>
      <c r="AN2" s="8" t="s">
        <v>197</v>
      </c>
      <c r="AO2" s="8" t="s">
        <v>197</v>
      </c>
      <c r="AP2" s="8" t="s">
        <v>197</v>
      </c>
      <c r="AQ2" s="8" t="s">
        <v>197</v>
      </c>
      <c r="AR2" s="8" t="s">
        <v>197</v>
      </c>
      <c r="AS2" s="8" t="s">
        <v>197</v>
      </c>
      <c r="AT2" s="8" t="s">
        <v>197</v>
      </c>
      <c r="AU2" s="8" t="s">
        <v>197</v>
      </c>
      <c r="AV2" s="8" t="s">
        <v>197</v>
      </c>
      <c r="AW2" s="8" t="s">
        <v>197</v>
      </c>
      <c r="AX2" s="8" t="s">
        <v>197</v>
      </c>
      <c r="AY2" s="8" t="s">
        <v>197</v>
      </c>
      <c r="AZ2" s="8" t="s">
        <v>197</v>
      </c>
      <c r="BA2" s="8" t="s">
        <v>197</v>
      </c>
      <c r="BB2" s="8" t="s">
        <v>197</v>
      </c>
      <c r="BC2" s="8" t="s">
        <v>197</v>
      </c>
      <c r="BD2" s="8" t="s">
        <v>197</v>
      </c>
      <c r="BE2" s="8" t="s">
        <v>197</v>
      </c>
      <c r="BF2" s="8" t="s">
        <v>197</v>
      </c>
      <c r="BG2" s="8" t="s">
        <v>197</v>
      </c>
      <c r="BH2" s="8" t="s">
        <v>197</v>
      </c>
      <c r="BI2" s="8" t="s">
        <v>197</v>
      </c>
      <c r="BJ2" s="8" t="s">
        <v>197</v>
      </c>
      <c r="BK2" s="8" t="s">
        <v>197</v>
      </c>
      <c r="BL2" s="8" t="s">
        <v>197</v>
      </c>
      <c r="BM2" s="8" t="s">
        <v>197</v>
      </c>
      <c r="BN2" s="8" t="s">
        <v>197</v>
      </c>
      <c r="BO2" s="8" t="s">
        <v>197</v>
      </c>
      <c r="BP2" s="8" t="s">
        <v>197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MAX(0,SUM(IF(FREQUENCY(IF((M7:M13&gt;0)*($G7:$G13&lt;&gt;""),MATCH($G7:$G13,$G7:$G13,0)),ROW($G7:$G13)-ROW($G7)+1)&gt;0,1))-1)*IF(M2="双",VLOOKUP($A$1,换码设置!$A:$C,2,FALSE),IF(M2="单",VLOOKUP($A$1,换码设置!$A:$C,3,FALSE),0))</f>
        <v>#VALUE!</v>
      </c>
      <c r="N3" t="e">
        <f>MAX(0,SUM(IF(FREQUENCY(IF((N7:N13&gt;0)*($G7:$G13&lt;&gt;""),MATCH($G7:$G13,$G7:$G13,0)),ROW($G7:$G13)-ROW($G7)+1)&gt;0,1))-1)*IF(N2="双",VLOOKUP($A$1,换码设置!$A:$C,2,FALSE),IF(N2="单",VLOOKUP($A$1,换码设置!$A:$C,3,FALSE),0))</f>
        <v>#VALUE!</v>
      </c>
      <c r="O3" t="e">
        <f>MAX(0,SUM(IF(FREQUENCY(IF((O7:O13&gt;0)*($G7:$G13&lt;&gt;""),MATCH($G7:$G13,$G7:$G13,0)),ROW($G7:$G13)-ROW($G7)+1)&gt;0,1))-1)*IF(O2="双",VLOOKUP($A$1,换码设置!$A:$C,2,FALSE),IF(O2="单",VLOOKUP($A$1,换码设置!$A:$C,3,FALSE),0))</f>
        <v>#VALUE!</v>
      </c>
      <c r="P3" t="e">
        <f>MAX(0,SUM(IF(FREQUENCY(IF((P7:P13&gt;0)*($G7:$G13&lt;&gt;""),MATCH($G7:$G13,$G7:$G13,0)),ROW($G7:$G13)-ROW($G7)+1)&gt;0,1))-1)*IF(P2="双",VLOOKUP($A$1,换码设置!$A:$C,2,FALSE),IF(P2="单",VLOOKUP($A$1,换码设置!$A:$C,3,FALSE),0))</f>
        <v>#VALUE!</v>
      </c>
      <c r="Q3" t="e">
        <f>MAX(0,SUM(IF(FREQUENCY(IF((Q7:Q13&gt;0)*($G7:$G13&lt;&gt;""),MATCH($G7:$G13,$G7:$G13,0)),ROW($G7:$G13)-ROW($G7)+1)&gt;0,1))-1)*IF(Q2="双",VLOOKUP($A$1,换码设置!$A:$C,2,FALSE),IF(Q2="单",VLOOKUP($A$1,换码设置!$A:$C,3,FALSE),0))</f>
        <v>#VALUE!</v>
      </c>
      <c r="R3" t="e">
        <f>MAX(0,SUM(IF(FREQUENCY(IF((R7:R13&gt;0)*($G7:$G13&lt;&gt;""),MATCH($G7:$G13,$G7:$G13,0)),ROW($G7:$G13)-ROW($G7)+1)&gt;0,1))-1)*IF(R2="双",VLOOKUP($A$1,换码设置!$A:$C,2,FALSE),IF(R2="单",VLOOKUP($A$1,换码设置!$A:$C,3,FALSE),0))</f>
        <v>#VALUE!</v>
      </c>
      <c r="S3" t="e">
        <f>MAX(0,SUM(IF(FREQUENCY(IF((S7:S13&gt;0)*($G7:$G13&lt;&gt;""),MATCH($G7:$G13,$G7:$G13,0)),ROW($G7:$G13)-ROW($G7)+1)&gt;0,1))-1)*IF(S2="双",VLOOKUP($A$1,换码设置!$A:$C,2,FALSE),IF(S2="单",VLOOKUP($A$1,换码设置!$A:$C,3,FALSE),0))</f>
        <v>#VALUE!</v>
      </c>
      <c r="T3" t="e">
        <f>MAX(0,SUM(IF(FREQUENCY(IF((T7:T13&gt;0)*($G7:$G13&lt;&gt;""),MATCH($G7:$G13,$G7:$G13,0)),ROW($G7:$G13)-ROW($G7)+1)&gt;0,1))-1)*IF(T2="双",VLOOKUP($A$1,换码设置!$A:$C,2,FALSE),IF(T2="单",VLOOKUP($A$1,换码设置!$A:$C,3,FALSE),0))</f>
        <v>#VALUE!</v>
      </c>
      <c r="U3" t="e">
        <f>MAX(0,SUM(IF(FREQUENCY(IF((U7:U13&gt;0)*($G7:$G13&lt;&gt;""),MATCH($G7:$G13,$G7:$G13,0)),ROW($G7:$G13)-ROW($G7)+1)&gt;0,1))-1)*IF(U2="双",VLOOKUP($A$1,换码设置!$A:$C,2,FALSE),IF(U2="单",VLOOKUP($A$1,换码设置!$A:$C,3,FALSE),0))</f>
        <v>#VALUE!</v>
      </c>
      <c r="V3" t="e">
        <f>MAX(0,SUM(IF(FREQUENCY(IF((V7:V13&gt;0)*($G7:$G13&lt;&gt;""),MATCH($G7:$G13,$G7:$G13,0)),ROW($G7:$G13)-ROW($G7)+1)&gt;0,1))-1)*IF(V2="双",VLOOKUP($A$1,换码设置!$A:$C,2,FALSE),IF(V2="单",VLOOKUP($A$1,换码设置!$A:$C,3,FALSE),0))</f>
        <v>#VALUE!</v>
      </c>
      <c r="W3" t="e">
        <f>MAX(0,SUM(IF(FREQUENCY(IF((W7:W13&gt;0)*($G7:$G13&lt;&gt;""),MATCH($G7:$G13,$G7:$G13,0)),ROW($G7:$G13)-ROW($G7)+1)&gt;0,1))-1)*IF(W2="双",VLOOKUP($A$1,换码设置!$A:$C,2,FALSE),IF(W2="单",VLOOKUP($A$1,换码设置!$A:$C,3,FALSE),0))</f>
        <v>#VALUE!</v>
      </c>
      <c r="X3" t="e">
        <f>MAX(0,SUM(IF(FREQUENCY(IF((X7:X13&gt;0)*($G7:$G13&lt;&gt;""),MATCH($G7:$G13,$G7:$G13,0)),ROW($G7:$G13)-ROW($G7)+1)&gt;0,1))-1)*IF(X2="双",VLOOKUP($A$1,换码设置!$A:$C,2,FALSE),IF(X2="单",VLOOKUP($A$1,换码设置!$A:$C,3,FALSE),0))</f>
        <v>#VALUE!</v>
      </c>
      <c r="Y3" t="e">
        <f>MAX(0,SUM(IF(FREQUENCY(IF((Y7:Y13&gt;0)*($G7:$G13&lt;&gt;""),MATCH($G7:$G13,$G7:$G13,0)),ROW($G7:$G13)-ROW($G7)+1)&gt;0,1))-1)*IF(Y2="双",VLOOKUP($A$1,换码设置!$A:$C,2,FALSE),IF(Y2="单",VLOOKUP($A$1,换码设置!$A:$C,3,FALSE),0))</f>
        <v>#VALUE!</v>
      </c>
      <c r="Z3" t="e">
        <f>MAX(0,SUM(IF(FREQUENCY(IF((Z7:Z13&gt;0)*($G7:$G13&lt;&gt;""),MATCH($G7:$G13,$G7:$G13,0)),ROW($G7:$G13)-ROW($G7)+1)&gt;0,1))-1)*IF(Z2="双",VLOOKUP($A$1,换码设置!$A:$C,2,FALSE),IF(Z2="单",VLOOKUP($A$1,换码设置!$A:$C,3,FALSE),0))</f>
        <v>#VALUE!</v>
      </c>
      <c r="AA3" t="e">
        <f>MAX(0,SUM(IF(FREQUENCY(IF((AA7:AA13&gt;0)*($G7:$G13&lt;&gt;""),MATCH($G7:$G13,$G7:$G13,0)),ROW($G7:$G13)-ROW($G7)+1)&gt;0,1))-1)*IF(AA2="双",VLOOKUP($A$1,换码设置!$A:$C,2,FALSE),IF(AA2="单",VLOOKUP($A$1,换码设置!$A:$C,3,FALSE),0))</f>
        <v>#VALUE!</v>
      </c>
      <c r="AB3" t="e">
        <f>MAX(0,SUM(IF(FREQUENCY(IF((AB7:AB13&gt;0)*($G7:$G13&lt;&gt;""),MATCH($G7:$G13,$G7:$G13,0)),ROW($G7:$G13)-ROW($G7)+1)&gt;0,1))-1)*IF(AB2="双",VLOOKUP($A$1,换码设置!$A:$C,2,FALSE),IF(AB2="单",VLOOKUP($A$1,换码设置!$A:$C,3,FALSE),0))</f>
        <v>#VALUE!</v>
      </c>
      <c r="AC3" t="e">
        <f>MAX(0,SUM(IF(FREQUENCY(IF((AC7:AC13&gt;0)*($G7:$G13&lt;&gt;""),MATCH($G7:$G13,$G7:$G13,0)),ROW($G7:$G13)-ROW($G7)+1)&gt;0,1))-1)*IF(AC2="双",VLOOKUP($A$1,换码设置!$A:$C,2,FALSE),IF(AC2="单",VLOOKUP($A$1,换码设置!$A:$C,3,FALSE),0))</f>
        <v>#VALUE!</v>
      </c>
      <c r="AD3" t="e">
        <f>MAX(0,SUM(IF(FREQUENCY(IF((AD7:AD13&gt;0)*($G7:$G13&lt;&gt;""),MATCH($G7:$G13,$G7:$G13,0)),ROW($G7:$G13)-ROW($G7)+1)&gt;0,1))-1)*IF(AD2="双",VLOOKUP($A$1,换码设置!$A:$C,2,FALSE),IF(AD2="单",VLOOKUP($A$1,换码设置!$A:$C,3,FALSE),0))</f>
        <v>#VALUE!</v>
      </c>
      <c r="AE3" t="e">
        <f>MAX(0,SUM(IF(FREQUENCY(IF((AE7:AE13&gt;0)*($G7:$G13&lt;&gt;""),MATCH($G7:$G13,$G7:$G13,0)),ROW($G7:$G13)-ROW($G7)+1)&gt;0,1))-1)*IF(AE2="双",VLOOKUP($A$1,换码设置!$A:$C,2,FALSE),IF(AE2="单",VLOOKUP($A$1,换码设置!$A:$C,3,FALSE),0))</f>
        <v>#VALUE!</v>
      </c>
      <c r="AF3" t="e">
        <f>MAX(0,SUM(IF(FREQUENCY(IF((AF7:AF13&gt;0)*($G7:$G13&lt;&gt;""),MATCH($G7:$G13,$G7:$G13,0)),ROW($G7:$G13)-ROW($G7)+1)&gt;0,1))-1)*IF(AF2="双",VLOOKUP($A$1,换码设置!$A:$C,2,FALSE),IF(AF2="单",VLOOKUP($A$1,换码设置!$A:$C,3,FALSE),0))</f>
        <v>#VALUE!</v>
      </c>
      <c r="AG3" t="e">
        <f>MAX(0,SUM(IF(FREQUENCY(IF((AG7:AG13&gt;0)*($G7:$G13&lt;&gt;""),MATCH($G7:$G13,$G7:$G13,0)),ROW($G7:$G13)-ROW($G7)+1)&gt;0,1))-1)*IF(AG2="双",VLOOKUP($A$1,换码设置!$A:$C,2,FALSE),IF(AG2="单",VLOOKUP($A$1,换码设置!$A:$C,3,FALSE),0))</f>
        <v>#VALUE!</v>
      </c>
      <c r="AH3" t="e">
        <f>MAX(0,SUM(IF(FREQUENCY(IF((AH7:AH13&gt;0)*($G7:$G13&lt;&gt;""),MATCH($G7:$G13,$G7:$G13,0)),ROW($G7:$G13)-ROW($G7)+1)&gt;0,1))-1)*IF(AH2="双",VLOOKUP($A$1,换码设置!$A:$C,2,FALSE),IF(AH2="单",VLOOKUP($A$1,换码设置!$A:$C,3,FALSE),0))</f>
        <v>#VALUE!</v>
      </c>
      <c r="AI3" t="e">
        <f>MAX(0,SUM(IF(FREQUENCY(IF((AI7:AI13&gt;0)*($G7:$G13&lt;&gt;""),MATCH($G7:$G13,$G7:$G13,0)),ROW($G7:$G13)-ROW($G7)+1)&gt;0,1))-1)*IF(AI2="双",VLOOKUP($A$1,换码设置!$A:$C,2,FALSE),IF(AI2="单",VLOOKUP($A$1,换码设置!$A:$C,3,FALSE),0))</f>
        <v>#VALUE!</v>
      </c>
      <c r="AJ3" t="e">
        <f>MAX(0,SUM(IF(FREQUENCY(IF((AJ7:AJ13&gt;0)*($G7:$G13&lt;&gt;""),MATCH($G7:$G13,$G7:$G13,0)),ROW($G7:$G13)-ROW($G7)+1)&gt;0,1))-1)*IF(AJ2="双",VLOOKUP($A$1,换码设置!$A:$C,2,FALSE),IF(AJ2="单",VLOOKUP($A$1,换码设置!$A:$C,3,FALSE),0))</f>
        <v>#VALUE!</v>
      </c>
      <c r="AK3" t="e">
        <f>MAX(0,SUM(IF(FREQUENCY(IF((AK7:AK13&gt;0)*($G7:$G13&lt;&gt;""),MATCH($G7:$G13,$G7:$G13,0)),ROW($G7:$G13)-ROW($G7)+1)&gt;0,1))-1)*IF(AK2="双",VLOOKUP($A$1,换码设置!$A:$C,2,FALSE),IF(AK2="单",VLOOKUP($A$1,换码设置!$A:$C,3,FALSE),0))</f>
        <v>#VALUE!</v>
      </c>
      <c r="AL3" t="e">
        <f>MAX(0,SUM(IF(FREQUENCY(IF((AL7:AL13&gt;0)*($G7:$G13&lt;&gt;""),MATCH($G7:$G13,$G7:$G13,0)),ROW($G7:$G13)-ROW($G7)+1)&gt;0,1))-1)*IF(AL2="双",VLOOKUP($A$1,换码设置!$A:$C,2,FALSE),IF(AL2="单",VLOOKUP($A$1,换码设置!$A:$C,3,FALSE),0))</f>
        <v>#VALUE!</v>
      </c>
      <c r="AM3" t="e">
        <f>MAX(0,SUM(IF(FREQUENCY(IF((AM7:AM13&gt;0)*($G7:$G13&lt;&gt;""),MATCH($G7:$G13,$G7:$G13,0)),ROW($G7:$G13)-ROW($G7)+1)&gt;0,1))-1)*IF(AM2="双",VLOOKUP($A$1,换码设置!$A:$C,2,FALSE),IF(AM2="单",VLOOKUP($A$1,换码设置!$A:$C,3,FALSE),0))</f>
        <v>#VALUE!</v>
      </c>
      <c r="AN3" t="e">
        <f>MAX(0,SUM(IF(FREQUENCY(IF((AN7:AN13&gt;0)*($G7:$G13&lt;&gt;""),MATCH($G7:$G13,$G7:$G13,0)),ROW($G7:$G13)-ROW($G7)+1)&gt;0,1))-1)*IF(AN2="双",VLOOKUP($A$1,换码设置!$A:$C,2,FALSE),IF(AN2="单",VLOOKUP($A$1,换码设置!$A:$C,3,FALSE),0))</f>
        <v>#VALUE!</v>
      </c>
      <c r="AO3" t="e">
        <f>MAX(0,SUM(IF(FREQUENCY(IF((AO7:AO13&gt;0)*($G7:$G13&lt;&gt;""),MATCH($G7:$G13,$G7:$G13,0)),ROW($G7:$G13)-ROW($G7)+1)&gt;0,1))-1)*IF(AO2="双",VLOOKUP($A$1,换码设置!$A:$C,2,FALSE),IF(AO2="单",VLOOKUP($A$1,换码设置!$A:$C,3,FALSE),0))</f>
        <v>#VALUE!</v>
      </c>
      <c r="AP3" t="e">
        <f>MAX(0,SUM(IF(FREQUENCY(IF((AP7:AP13&gt;0)*($G7:$G13&lt;&gt;""),MATCH($G7:$G13,$G7:$G13,0)),ROW($G7:$G13)-ROW($G7)+1)&gt;0,1))-1)*IF(AP2="双",VLOOKUP($A$1,换码设置!$A:$C,2,FALSE),IF(AP2="单",VLOOKUP($A$1,换码设置!$A:$C,3,FALSE),0))</f>
        <v>#VALUE!</v>
      </c>
      <c r="AQ3" t="e">
        <f>MAX(0,SUM(IF(FREQUENCY(IF((AQ7:AQ13&gt;0)*($G7:$G13&lt;&gt;""),MATCH($G7:$G13,$G7:$G13,0)),ROW($G7:$G13)-ROW($G7)+1)&gt;0,1))-1)*IF(AQ2="双",VLOOKUP($A$1,换码设置!$A:$C,2,FALSE),IF(AQ2="单",VLOOKUP($A$1,换码设置!$A:$C,3,FALSE),0))</f>
        <v>#VALUE!</v>
      </c>
      <c r="AR3" t="e">
        <f>MAX(0,SUM(IF(FREQUENCY(IF((AR7:AR13&gt;0)*($G7:$G13&lt;&gt;""),MATCH($G7:$G13,$G7:$G13,0)),ROW($G7:$G13)-ROW($G7)+1)&gt;0,1))-1)*IF(AR2="双",VLOOKUP($A$1,换码设置!$A:$C,2,FALSE),IF(AR2="单",VLOOKUP($A$1,换码设置!$A:$C,3,FALSE),0))</f>
        <v>#VALUE!</v>
      </c>
      <c r="AS3" t="e">
        <f>MAX(0,SUM(IF(FREQUENCY(IF((AS7:AS13&gt;0)*($G7:$G13&lt;&gt;""),MATCH($G7:$G13,$G7:$G13,0)),ROW($G7:$G13)-ROW($G7)+1)&gt;0,1))-1)*IF(AS2="双",VLOOKUP($A$1,换码设置!$A:$C,2,FALSE),IF(AS2="单",VLOOKUP($A$1,换码设置!$A:$C,3,FALSE),0))</f>
        <v>#VALUE!</v>
      </c>
      <c r="AT3" t="e">
        <f>MAX(0,SUM(IF(FREQUENCY(IF((AT7:AT13&gt;0)*($G7:$G13&lt;&gt;""),MATCH($G7:$G13,$G7:$G13,0)),ROW($G7:$G13)-ROW($G7)+1)&gt;0,1))-1)*IF(AT2="双",VLOOKUP($A$1,换码设置!$A:$C,2,FALSE),IF(AT2="单",VLOOKUP($A$1,换码设置!$A:$C,3,FALSE),0))</f>
        <v>#VALUE!</v>
      </c>
      <c r="AU3" t="e">
        <f>MAX(0,SUM(IF(FREQUENCY(IF((AU7:AU13&gt;0)*($G7:$G13&lt;&gt;""),MATCH($G7:$G13,$G7:$G13,0)),ROW($G7:$G13)-ROW($G7)+1)&gt;0,1))-1)*IF(AU2="双",VLOOKUP($A$1,换码设置!$A:$C,2,FALSE),IF(AU2="单",VLOOKUP($A$1,换码设置!$A:$C,3,FALSE),0))</f>
        <v>#VALUE!</v>
      </c>
      <c r="AV3" t="e">
        <f>MAX(0,SUM(IF(FREQUENCY(IF((AV7:AV13&gt;0)*($G7:$G13&lt;&gt;""),MATCH($G7:$G13,$G7:$G13,0)),ROW($G7:$G13)-ROW($G7)+1)&gt;0,1))-1)*IF(AV2="双",VLOOKUP($A$1,换码设置!$A:$C,2,FALSE),IF(AV2="单",VLOOKUP($A$1,换码设置!$A:$C,3,FALSE),0))</f>
        <v>#VALUE!</v>
      </c>
      <c r="AW3" t="e">
        <f>MAX(0,SUM(IF(FREQUENCY(IF((AW7:AW13&gt;0)*($G7:$G13&lt;&gt;""),MATCH($G7:$G13,$G7:$G13,0)),ROW($G7:$G13)-ROW($G7)+1)&gt;0,1))-1)*IF(AW2="双",VLOOKUP($A$1,换码设置!$A:$C,2,FALSE),IF(AW2="单",VLOOKUP($A$1,换码设置!$A:$C,3,FALSE),0))</f>
        <v>#VALUE!</v>
      </c>
      <c r="AX3" t="e">
        <f>MAX(0,SUM(IF(FREQUENCY(IF((AX7:AX13&gt;0)*($G7:$G13&lt;&gt;""),MATCH($G7:$G13,$G7:$G13,0)),ROW($G7:$G13)-ROW($G7)+1)&gt;0,1))-1)*IF(AX2="双",VLOOKUP($A$1,换码设置!$A:$C,2,FALSE),IF(AX2="单",VLOOKUP($A$1,换码设置!$A:$C,3,FALSE),0))</f>
        <v>#VALUE!</v>
      </c>
      <c r="AY3" t="e">
        <f>MAX(0,SUM(IF(FREQUENCY(IF((AY7:AY13&gt;0)*($G7:$G13&lt;&gt;""),MATCH($G7:$G13,$G7:$G13,0)),ROW($G7:$G13)-ROW($G7)+1)&gt;0,1))-1)*IF(AY2="双",VLOOKUP($A$1,换码设置!$A:$C,2,FALSE),IF(AY2="单",VLOOKUP($A$1,换码设置!$A:$C,3,FALSE),0))</f>
        <v>#VALUE!</v>
      </c>
      <c r="AZ3" t="e">
        <f>MAX(0,SUM(IF(FREQUENCY(IF((AZ7:AZ13&gt;0)*($G7:$G13&lt;&gt;""),MATCH($G7:$G13,$G7:$G13,0)),ROW($G7:$G13)-ROW($G7)+1)&gt;0,1))-1)*IF(AZ2="双",VLOOKUP($A$1,换码设置!$A:$C,2,FALSE),IF(AZ2="单",VLOOKUP($A$1,换码设置!$A:$C,3,FALSE),0))</f>
        <v>#VALUE!</v>
      </c>
      <c r="BA3" t="e">
        <f>MAX(0,SUM(IF(FREQUENCY(IF((BA7:BA13&gt;0)*($G7:$G13&lt;&gt;""),MATCH($G7:$G13,$G7:$G13,0)),ROW($G7:$G13)-ROW($G7)+1)&gt;0,1))-1)*IF(BA2="双",VLOOKUP($A$1,换码设置!$A:$C,2,FALSE),IF(BA2="单",VLOOKUP($A$1,换码设置!$A:$C,3,FALSE),0))</f>
        <v>#VALUE!</v>
      </c>
      <c r="BB3" t="e">
        <f>MAX(0,SUM(IF(FREQUENCY(IF((BB7:BB13&gt;0)*($G7:$G13&lt;&gt;""),MATCH($G7:$G13,$G7:$G13,0)),ROW($G7:$G13)-ROW($G7)+1)&gt;0,1))-1)*IF(BB2="双",VLOOKUP($A$1,换码设置!$A:$C,2,FALSE),IF(BB2="单",VLOOKUP($A$1,换码设置!$A:$C,3,FALSE),0))</f>
        <v>#VALUE!</v>
      </c>
      <c r="BC3" t="e">
        <f>MAX(0,SUM(IF(FREQUENCY(IF((BC7:BC13&gt;0)*($G7:$G13&lt;&gt;""),MATCH($G7:$G13,$G7:$G13,0)),ROW($G7:$G13)-ROW($G7)+1)&gt;0,1))-1)*IF(BC2="双",VLOOKUP($A$1,换码设置!$A:$C,2,FALSE),IF(BC2="单",VLOOKUP($A$1,换码设置!$A:$C,3,FALSE),0))</f>
        <v>#VALUE!</v>
      </c>
      <c r="BD3" t="e">
        <f>MAX(0,SUM(IF(FREQUENCY(IF((BD7:BD13&gt;0)*($G7:$G13&lt;&gt;""),MATCH($G7:$G13,$G7:$G13,0)),ROW($G7:$G13)-ROW($G7)+1)&gt;0,1))-1)*IF(BD2="双",VLOOKUP($A$1,换码设置!$A:$C,2,FALSE),IF(BD2="单",VLOOKUP($A$1,换码设置!$A:$C,3,FALSE),0))</f>
        <v>#VALUE!</v>
      </c>
      <c r="BE3" t="e">
        <f>MAX(0,SUM(IF(FREQUENCY(IF((BE7:BE13&gt;0)*($G7:$G13&lt;&gt;""),MATCH($G7:$G13,$G7:$G13,0)),ROW($G7:$G13)-ROW($G7)+1)&gt;0,1))-1)*IF(BE2="双",VLOOKUP($A$1,换码设置!$A:$C,2,FALSE),IF(BE2="单",VLOOKUP($A$1,换码设置!$A:$C,3,FALSE),0))</f>
        <v>#VALUE!</v>
      </c>
      <c r="BF3" t="e">
        <f>MAX(0,SUM(IF(FREQUENCY(IF((BF7:BF13&gt;0)*($G7:$G13&lt;&gt;""),MATCH($G7:$G13,$G7:$G13,0)),ROW($G7:$G13)-ROW($G7)+1)&gt;0,1))-1)*IF(BF2="双",VLOOKUP($A$1,换码设置!$A:$C,2,FALSE),IF(BF2="单",VLOOKUP($A$1,换码设置!$A:$C,3,FALSE),0))</f>
        <v>#VALUE!</v>
      </c>
      <c r="BG3" t="e">
        <f>MAX(0,SUM(IF(FREQUENCY(IF((BG7:BG13&gt;0)*($G7:$G13&lt;&gt;""),MATCH($G7:$G13,$G7:$G13,0)),ROW($G7:$G13)-ROW($G7)+1)&gt;0,1))-1)*IF(BG2="双",VLOOKUP($A$1,换码设置!$A:$C,2,FALSE),IF(BG2="单",VLOOKUP($A$1,换码设置!$A:$C,3,FALSE),0))</f>
        <v>#VALUE!</v>
      </c>
      <c r="BH3" t="e">
        <f>MAX(0,SUM(IF(FREQUENCY(IF((BH7:BH13&gt;0)*($G7:$G13&lt;&gt;""),MATCH($G7:$G13,$G7:$G13,0)),ROW($G7:$G13)-ROW($G7)+1)&gt;0,1))-1)*IF(BH2="双",VLOOKUP($A$1,换码设置!$A:$C,2,FALSE),IF(BH2="单",VLOOKUP($A$1,换码设置!$A:$C,3,FALSE),0))</f>
        <v>#VALUE!</v>
      </c>
      <c r="BI3" t="e">
        <f>MAX(0,SUM(IF(FREQUENCY(IF((BI7:BI13&gt;0)*($G7:$G13&lt;&gt;""),MATCH($G7:$G13,$G7:$G13,0)),ROW($G7:$G13)-ROW($G7)+1)&gt;0,1))-1)*IF(BI2="双",VLOOKUP($A$1,换码设置!$A:$C,2,FALSE),IF(BI2="单",VLOOKUP($A$1,换码设置!$A:$C,3,FALSE),0))</f>
        <v>#VALUE!</v>
      </c>
      <c r="BJ3" t="e">
        <f>MAX(0,SUM(IF(FREQUENCY(IF((BJ7:BJ13&gt;0)*($G7:$G13&lt;&gt;""),MATCH($G7:$G13,$G7:$G13,0)),ROW($G7:$G13)-ROW($G7)+1)&gt;0,1))-1)*IF(BJ2="双",VLOOKUP($A$1,换码设置!$A:$C,2,FALSE),IF(BJ2="单",VLOOKUP($A$1,换码设置!$A:$C,3,FALSE),0))</f>
        <v>#VALUE!</v>
      </c>
      <c r="BK3" t="e">
        <f>MAX(0,SUM(IF(FREQUENCY(IF((BK7:BK13&gt;0)*($G7:$G13&lt;&gt;""),MATCH($G7:$G13,$G7:$G13,0)),ROW($G7:$G13)-ROW($G7)+1)&gt;0,1))-1)*IF(BK2="双",VLOOKUP($A$1,换码设置!$A:$C,2,FALSE),IF(BK2="单",VLOOKUP($A$1,换码设置!$A:$C,3,FALSE),0))</f>
        <v>#VALUE!</v>
      </c>
      <c r="BL3" t="e">
        <f>MAX(0,SUM(IF(FREQUENCY(IF((BL7:BL13&gt;0)*($G7:$G13&lt;&gt;""),MATCH($G7:$G13,$G7:$G13,0)),ROW($G7:$G13)-ROW($G7)+1)&gt;0,1))-1)*IF(BL2="双",VLOOKUP($A$1,换码设置!$A:$C,2,FALSE),IF(BL2="单",VLOOKUP($A$1,换码设置!$A:$C,3,FALSE),0))</f>
        <v>#VALUE!</v>
      </c>
      <c r="BM3" t="e">
        <f>MAX(0,SUM(IF(FREQUENCY(IF((BM7:BM13&gt;0)*($G7:$G13&lt;&gt;""),MATCH($G7:$G13,$G7:$G13,0)),ROW($G7:$G13)-ROW($G7)+1)&gt;0,1))-1)*IF(BM2="双",VLOOKUP($A$1,换码设置!$A:$C,2,FALSE),IF(BM2="单",VLOOKUP($A$1,换码设置!$A:$C,3,FALSE),0))</f>
        <v>#VALUE!</v>
      </c>
      <c r="BN3" t="e">
        <f>MAX(0,SUM(IF(FREQUENCY(IF((BN7:BN13&gt;0)*($G7:$G13&lt;&gt;""),MATCH($G7:$G13,$G7:$G13,0)),ROW($G7:$G13)-ROW($G7)+1)&gt;0,1))-1)*IF(BN2="双",VLOOKUP($A$1,换码设置!$A:$C,2,FALSE),IF(BN2="单",VLOOKUP($A$1,换码设置!$A:$C,3,FALSE),0))</f>
        <v>#VALUE!</v>
      </c>
      <c r="BO3" t="e">
        <f>MAX(0,SUM(IF(FREQUENCY(IF((BO7:BO13&gt;0)*($G7:$G13&lt;&gt;""),MATCH($G7:$G13,$G7:$G13,0)),ROW($G7:$G13)-ROW($G7)+1)&gt;0,1))-1)*IF(BO2="双",VLOOKUP($A$1,换码设置!$A:$C,2,FALSE),IF(BO2="单",VLOOKUP($A$1,换码设置!$A:$C,3,FALSE),0))</f>
        <v>#VALUE!</v>
      </c>
      <c r="BP3" t="e">
        <f>MAX(0,SUM(IF(FREQUENCY(IF((BP7:BP13&gt;0)*($G7:$G13&lt;&gt;""),MATCH($G7:$G13,$G7:$G13,0)),ROW($G7:$G13)-ROW($G7)+1)&gt;0,1))-1)*IF(BP2="双",VLOOKUP($A$1,换码设置!$A:$C,2,FALSE),IF(BP2="单",VLOOKUP($A$1,换码设置!$A:$C,3,FALSE),0))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30">
        <v>46148</v>
      </c>
      <c r="N4" s="30">
        <v>46149</v>
      </c>
      <c r="O4" s="30">
        <v>46150</v>
      </c>
      <c r="P4" s="30">
        <v>46151</v>
      </c>
      <c r="Q4" s="30">
        <v>46152</v>
      </c>
      <c r="R4" s="30">
        <v>46153</v>
      </c>
      <c r="S4" s="30">
        <v>46154</v>
      </c>
      <c r="T4" s="30">
        <v>46155</v>
      </c>
      <c r="U4" s="30">
        <v>46156</v>
      </c>
      <c r="V4" s="30">
        <v>46157</v>
      </c>
      <c r="W4" s="30">
        <v>46158</v>
      </c>
      <c r="X4" s="30">
        <v>46159</v>
      </c>
      <c r="Y4" s="30">
        <v>46160</v>
      </c>
      <c r="Z4" s="30">
        <v>46161</v>
      </c>
      <c r="AA4" s="30">
        <v>46162</v>
      </c>
      <c r="AB4" s="30">
        <v>46163</v>
      </c>
      <c r="AC4" s="30">
        <v>46164</v>
      </c>
      <c r="AD4" s="30">
        <v>46165</v>
      </c>
      <c r="AE4" s="30">
        <v>46166</v>
      </c>
      <c r="AF4" s="30">
        <v>46167</v>
      </c>
      <c r="AG4" s="30">
        <v>46168</v>
      </c>
      <c r="AH4" s="30">
        <v>46169</v>
      </c>
      <c r="AI4" s="30">
        <v>46170</v>
      </c>
      <c r="AJ4" s="30">
        <v>46171</v>
      </c>
      <c r="AK4" s="30">
        <v>46172</v>
      </c>
      <c r="AL4" s="30">
        <v>46173</v>
      </c>
      <c r="AM4" s="30">
        <v>46174</v>
      </c>
      <c r="AN4" s="30">
        <v>46175</v>
      </c>
      <c r="AO4" s="30">
        <v>46176</v>
      </c>
      <c r="AP4" s="30">
        <v>46177</v>
      </c>
      <c r="AQ4" s="30">
        <v>46178</v>
      </c>
      <c r="AR4" s="30">
        <v>46179</v>
      </c>
      <c r="AS4" s="30">
        <v>46180</v>
      </c>
      <c r="AT4" s="30">
        <v>46181</v>
      </c>
      <c r="AU4" s="30">
        <v>46182</v>
      </c>
      <c r="AV4" s="30">
        <v>46183</v>
      </c>
      <c r="AW4" s="30">
        <v>46184</v>
      </c>
      <c r="AX4" s="30">
        <v>46185</v>
      </c>
      <c r="AY4" s="30">
        <v>46186</v>
      </c>
      <c r="AZ4" s="30">
        <v>46187</v>
      </c>
      <c r="BA4" s="30">
        <v>46188</v>
      </c>
      <c r="BB4" s="30">
        <v>46189</v>
      </c>
      <c r="BC4" s="30">
        <v>46190</v>
      </c>
      <c r="BD4" s="30">
        <v>46191</v>
      </c>
      <c r="BE4" s="30">
        <v>46192</v>
      </c>
      <c r="BF4" s="30">
        <v>46193</v>
      </c>
      <c r="BG4" s="30">
        <v>46194</v>
      </c>
      <c r="BH4" s="30">
        <v>46195</v>
      </c>
      <c r="BI4" s="30">
        <v>46196</v>
      </c>
      <c r="BJ4" s="30">
        <v>46197</v>
      </c>
      <c r="BK4" s="30">
        <v>46198</v>
      </c>
      <c r="BL4" s="30">
        <v>46199</v>
      </c>
      <c r="BM4" s="30">
        <v>46200</v>
      </c>
      <c r="BN4" s="30">
        <v>46201</v>
      </c>
      <c r="BO4" s="30">
        <v>46202</v>
      </c>
      <c r="BP4" s="30">
        <v>46203</v>
      </c>
    </row>
    <row r="5" spans="1:68" s="1" customFormat="1" ht="15.5" customHeight="1">
      <c r="F5" s="100"/>
      <c r="G5" s="100"/>
      <c r="I5" s="95"/>
      <c r="J5" s="96"/>
      <c r="K5" s="5" t="s">
        <v>7</v>
      </c>
      <c r="L5" s="9" t="e">
        <f>SUM(L1:L3)</f>
        <v>#REF!</v>
      </c>
      <c r="M5" s="15" t="e">
        <f t="shared" ref="M5:AR5" si="0">IF(M2="单",$J$1,IF(M2="双",$J$2,0))-M3-M6</f>
        <v>#VALUE!</v>
      </c>
      <c r="N5" s="15" t="e">
        <f t="shared" si="0"/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ref="AS5:BP5" si="1">IF(AS2="单",$J$1,IF(AS2="双",$J$2,0))-AS3-AS6</f>
        <v>#VALUE!</v>
      </c>
      <c r="AT5" s="15" t="e">
        <f t="shared" si="1"/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</row>
    <row r="6" spans="1:68" ht="17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</row>
    <row r="7" spans="1:68" ht="17.5" customHeight="1">
      <c r="A7" s="32" t="s">
        <v>429</v>
      </c>
      <c r="B7" s="32"/>
      <c r="C7" s="32" t="s">
        <v>430</v>
      </c>
      <c r="D7" s="32" t="s">
        <v>431</v>
      </c>
      <c r="E7" s="33" t="s">
        <v>432</v>
      </c>
      <c r="F7" s="32">
        <v>8</v>
      </c>
      <c r="G7" s="32">
        <v>160</v>
      </c>
      <c r="H7" s="34">
        <v>46121</v>
      </c>
      <c r="I7" s="34">
        <v>46142</v>
      </c>
      <c r="J7" s="32">
        <f>625-390</f>
        <v>235</v>
      </c>
      <c r="K7" s="32" t="e">
        <f>F6*G6*J6</f>
        <v>#VALUE!</v>
      </c>
      <c r="L7" s="32">
        <v>0</v>
      </c>
      <c r="M7" s="28"/>
      <c r="N7" s="28"/>
      <c r="O7" s="28">
        <v>133</v>
      </c>
      <c r="P7" s="28">
        <v>102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7.5" customHeight="1">
      <c r="A8" s="32" t="s">
        <v>429</v>
      </c>
      <c r="B8" s="32"/>
      <c r="C8" s="32" t="s">
        <v>433</v>
      </c>
      <c r="D8" s="32" t="s">
        <v>434</v>
      </c>
      <c r="E8" s="33" t="s">
        <v>432</v>
      </c>
      <c r="F8" s="32">
        <v>8</v>
      </c>
      <c r="G8" s="32">
        <v>160</v>
      </c>
      <c r="H8" s="34">
        <v>46126</v>
      </c>
      <c r="I8" s="34">
        <v>46152</v>
      </c>
      <c r="J8" s="32">
        <v>625</v>
      </c>
      <c r="K8" s="32">
        <f>F7*G7*J7</f>
        <v>300800</v>
      </c>
      <c r="L8" s="32">
        <v>0</v>
      </c>
      <c r="M8" s="28"/>
      <c r="N8" s="28"/>
      <c r="O8" s="28"/>
      <c r="P8" s="28">
        <v>31</v>
      </c>
      <c r="Q8" s="28"/>
      <c r="R8" s="28">
        <v>133</v>
      </c>
      <c r="S8" s="28">
        <v>133</v>
      </c>
      <c r="T8" s="28">
        <v>133</v>
      </c>
      <c r="U8" s="28">
        <v>133</v>
      </c>
      <c r="V8" s="28">
        <v>62</v>
      </c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7.5" customHeight="1">
      <c r="A9" s="32" t="s">
        <v>435</v>
      </c>
      <c r="B9" s="32"/>
      <c r="C9" s="32" t="s">
        <v>433</v>
      </c>
      <c r="D9" s="32" t="s">
        <v>436</v>
      </c>
      <c r="E9" s="33" t="s">
        <v>437</v>
      </c>
      <c r="F9" s="32">
        <v>8</v>
      </c>
      <c r="G9" s="32">
        <v>160</v>
      </c>
      <c r="H9" s="34">
        <v>46126</v>
      </c>
      <c r="I9" s="34">
        <v>46152</v>
      </c>
      <c r="J9" s="32">
        <v>1000</v>
      </c>
      <c r="K9" s="32">
        <f>F8*G8*J8</f>
        <v>800000</v>
      </c>
      <c r="L9" s="32">
        <v>0</v>
      </c>
      <c r="M9" s="28"/>
      <c r="N9" s="28"/>
      <c r="O9" s="28"/>
      <c r="P9" s="28"/>
      <c r="Q9" s="28"/>
      <c r="R9" s="28"/>
      <c r="S9" s="28"/>
      <c r="T9" s="28"/>
      <c r="U9" s="28"/>
      <c r="V9" s="28">
        <v>71</v>
      </c>
      <c r="W9" s="28">
        <v>133</v>
      </c>
      <c r="X9" s="28"/>
      <c r="Y9" s="28">
        <v>133</v>
      </c>
      <c r="Z9" s="28">
        <v>133</v>
      </c>
      <c r="AA9" s="28">
        <v>133</v>
      </c>
      <c r="AB9" s="28">
        <v>133</v>
      </c>
      <c r="AC9" s="28">
        <v>133</v>
      </c>
      <c r="AD9" s="28">
        <v>131</v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ht="18" customHeight="1">
      <c r="A10" s="35" t="s">
        <v>438</v>
      </c>
      <c r="B10" s="35"/>
      <c r="C10" s="35" t="s">
        <v>439</v>
      </c>
      <c r="D10" s="35" t="s">
        <v>440</v>
      </c>
      <c r="E10" s="21" t="s">
        <v>441</v>
      </c>
      <c r="F10" s="19">
        <v>8</v>
      </c>
      <c r="G10" s="19">
        <v>12</v>
      </c>
      <c r="H10" s="36">
        <v>46134</v>
      </c>
      <c r="I10" s="23">
        <v>46173</v>
      </c>
      <c r="J10" s="19">
        <v>2084</v>
      </c>
      <c r="K10" s="19">
        <f>F9*G9*J9</f>
        <v>1280000</v>
      </c>
      <c r="L10" s="19">
        <v>0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>
        <v>24</v>
      </c>
      <c r="AE10" s="28"/>
      <c r="AF10" s="28">
        <v>1771</v>
      </c>
      <c r="AG10" s="28">
        <v>289</v>
      </c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7.5" customHeight="1"/>
    <row r="12" spans="1:68" ht="17.5" customHeight="1">
      <c r="A12" s="37" t="s">
        <v>429</v>
      </c>
      <c r="B12" s="37"/>
      <c r="C12" s="37"/>
      <c r="D12" s="37"/>
      <c r="E12" s="38" t="s">
        <v>432</v>
      </c>
      <c r="F12" s="37">
        <v>8</v>
      </c>
      <c r="G12" s="37">
        <v>160</v>
      </c>
      <c r="H12" s="39">
        <v>46148</v>
      </c>
      <c r="I12" s="39"/>
      <c r="J12" s="37">
        <v>1250</v>
      </c>
      <c r="K12" s="37">
        <f>F11*G11*J11</f>
        <v>0</v>
      </c>
      <c r="L12" s="37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ht="18" customHeight="1">
      <c r="A13" s="37" t="s">
        <v>435</v>
      </c>
      <c r="B13" s="37"/>
      <c r="C13" s="37"/>
      <c r="D13" s="37"/>
      <c r="E13" s="38" t="s">
        <v>437</v>
      </c>
      <c r="F13" s="37">
        <v>8</v>
      </c>
      <c r="G13" s="37">
        <v>160</v>
      </c>
      <c r="H13" s="39">
        <v>46148</v>
      </c>
      <c r="I13" s="39"/>
      <c r="J13" s="37">
        <v>2500</v>
      </c>
      <c r="K13" s="37">
        <f>F12*G12*J12</f>
        <v>1600000</v>
      </c>
      <c r="L13" s="37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A00-000000000000}">
      <formula1>"单,双"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P14"/>
  <sheetViews>
    <sheetView showGridLines="0" zoomScale="70" zoomScaleNormal="70" workbookViewId="0">
      <pane xSplit="11" ySplit="5" topLeftCell="L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7.83203125" style="91" customWidth="1"/>
    <col min="2" max="2" width="7.1640625" style="91" customWidth="1"/>
    <col min="3" max="3" width="8.6640625" style="91" customWidth="1"/>
    <col min="4" max="4" width="23.83203125" style="91" customWidth="1"/>
    <col min="5" max="5" width="39.6640625" style="91" customWidth="1"/>
    <col min="8" max="8" width="9.3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5.33203125" style="91" customWidth="1"/>
    <col min="13" max="68" width="9" style="91" customWidth="1"/>
  </cols>
  <sheetData>
    <row r="1" spans="1:68" s="1" customFormat="1" ht="16.25" customHeight="1">
      <c r="A1" s="99" t="s">
        <v>132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200000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350000</v>
      </c>
      <c r="K2" s="5" t="s">
        <v>137</v>
      </c>
      <c r="L2" s="7" t="e">
        <f>SUM(#REF!)</f>
        <v>#REF!</v>
      </c>
      <c r="M2" s="8" t="s">
        <v>197</v>
      </c>
      <c r="N2" s="8" t="s">
        <v>197</v>
      </c>
      <c r="O2" s="8" t="s">
        <v>197</v>
      </c>
      <c r="P2" s="8" t="s">
        <v>197</v>
      </c>
      <c r="Q2" s="8" t="s">
        <v>197</v>
      </c>
      <c r="R2" s="8" t="s">
        <v>197</v>
      </c>
      <c r="S2" s="8" t="s">
        <v>197</v>
      </c>
      <c r="T2" s="8" t="s">
        <v>197</v>
      </c>
      <c r="U2" s="8" t="s">
        <v>197</v>
      </c>
      <c r="V2" s="8" t="s">
        <v>197</v>
      </c>
      <c r="W2" s="8" t="s">
        <v>197</v>
      </c>
      <c r="X2" s="8" t="s">
        <v>197</v>
      </c>
      <c r="Y2" s="8" t="s">
        <v>197</v>
      </c>
      <c r="Z2" s="8" t="s">
        <v>197</v>
      </c>
      <c r="AA2" s="8" t="s">
        <v>197</v>
      </c>
      <c r="AB2" s="8" t="s">
        <v>197</v>
      </c>
      <c r="AC2" s="8" t="s">
        <v>197</v>
      </c>
      <c r="AD2" s="8" t="s">
        <v>197</v>
      </c>
      <c r="AE2" s="8" t="s">
        <v>197</v>
      </c>
      <c r="AF2" s="8" t="s">
        <v>197</v>
      </c>
      <c r="AG2" s="8" t="s">
        <v>197</v>
      </c>
      <c r="AH2" s="8" t="s">
        <v>197</v>
      </c>
      <c r="AI2" s="8" t="s">
        <v>197</v>
      </c>
      <c r="AJ2" s="8" t="s">
        <v>197</v>
      </c>
      <c r="AK2" s="8" t="s">
        <v>197</v>
      </c>
      <c r="AL2" s="8" t="s">
        <v>197</v>
      </c>
      <c r="AM2" s="8" t="s">
        <v>197</v>
      </c>
      <c r="AN2" s="8" t="s">
        <v>197</v>
      </c>
      <c r="AO2" s="8" t="s">
        <v>197</v>
      </c>
      <c r="AP2" s="8" t="s">
        <v>197</v>
      </c>
      <c r="AQ2" s="8" t="s">
        <v>197</v>
      </c>
      <c r="AR2" s="8" t="s">
        <v>197</v>
      </c>
      <c r="AS2" s="8" t="s">
        <v>197</v>
      </c>
      <c r="AT2" s="8" t="s">
        <v>197</v>
      </c>
      <c r="AU2" s="8" t="s">
        <v>197</v>
      </c>
      <c r="AV2" s="8" t="s">
        <v>197</v>
      </c>
      <c r="AW2" s="8" t="s">
        <v>197</v>
      </c>
      <c r="AX2" s="8" t="s">
        <v>197</v>
      </c>
      <c r="AY2" s="8" t="s">
        <v>197</v>
      </c>
      <c r="AZ2" s="8" t="s">
        <v>197</v>
      </c>
      <c r="BA2" s="8" t="s">
        <v>197</v>
      </c>
      <c r="BB2" s="8" t="s">
        <v>197</v>
      </c>
      <c r="BC2" s="8" t="s">
        <v>197</v>
      </c>
      <c r="BD2" s="8" t="s">
        <v>197</v>
      </c>
      <c r="BE2" s="8" t="s">
        <v>197</v>
      </c>
      <c r="BF2" s="8" t="s">
        <v>197</v>
      </c>
      <c r="BG2" s="8" t="s">
        <v>197</v>
      </c>
      <c r="BH2" s="8" t="s">
        <v>197</v>
      </c>
      <c r="BI2" s="8" t="s">
        <v>197</v>
      </c>
      <c r="BJ2" s="8" t="s">
        <v>197</v>
      </c>
      <c r="BK2" s="8" t="s">
        <v>197</v>
      </c>
      <c r="BL2" s="8" t="s">
        <v>197</v>
      </c>
      <c r="BM2" s="8" t="s">
        <v>197</v>
      </c>
      <c r="BN2" s="8" t="s">
        <v>197</v>
      </c>
      <c r="BO2" s="8" t="s">
        <v>197</v>
      </c>
      <c r="BP2" s="8" t="s">
        <v>197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MAX(0,SUM(IF(FREQUENCY(IF((M7:M14&gt;0)*($G7:$G14&lt;&gt;""),MATCH($G7:$G14,$G7:$G14,0)),ROW($G7:$G14)-ROW($G7)+1)&gt;0,1))-1)*IF(M2="双",VLOOKUP($A$1,换码设置!$A:$C,2,FALSE),IF(M2="单",VLOOKUP($A$1,换码设置!$A:$C,3,FALSE),0))</f>
        <v>#VALUE!</v>
      </c>
      <c r="N3" t="e">
        <f>MAX(0,SUM(IF(FREQUENCY(IF((N7:N14&gt;0)*($G7:$G14&lt;&gt;""),MATCH($G7:$G14,$G7:$G14,0)),ROW($G7:$G14)-ROW($G7)+1)&gt;0,1))-1)*IF(N2="双",VLOOKUP($A$1,换码设置!$A:$C,2,FALSE),IF(N2="单",VLOOKUP($A$1,换码设置!$A:$C,3,FALSE),0))</f>
        <v>#VALUE!</v>
      </c>
      <c r="O3" t="e">
        <f>MAX(0,SUM(IF(FREQUENCY(IF((O7:O14&gt;0)*($G7:$G14&lt;&gt;""),MATCH($G7:$G14,$G7:$G14,0)),ROW($G7:$G14)-ROW($G7)+1)&gt;0,1))-1)*IF(O2="双",VLOOKUP($A$1,换码设置!$A:$C,2,FALSE),IF(O2="单",VLOOKUP($A$1,换码设置!$A:$C,3,FALSE),0))</f>
        <v>#VALUE!</v>
      </c>
      <c r="P3" t="e">
        <f>MAX(0,SUM(IF(FREQUENCY(IF((P7:P14&gt;0)*($G7:$G14&lt;&gt;""),MATCH($G7:$G14,$G7:$G14,0)),ROW($G7:$G14)-ROW($G7)+1)&gt;0,1))-1)*IF(P2="双",VLOOKUP($A$1,换码设置!$A:$C,2,FALSE),IF(P2="单",VLOOKUP($A$1,换码设置!$A:$C,3,FALSE),0))</f>
        <v>#VALUE!</v>
      </c>
      <c r="Q3" t="e">
        <f>MAX(0,SUM(IF(FREQUENCY(IF((Q7:Q14&gt;0)*($G7:$G14&lt;&gt;""),MATCH($G7:$G14,$G7:$G14,0)),ROW($G7:$G14)-ROW($G7)+1)&gt;0,1))-1)*IF(Q2="双",VLOOKUP($A$1,换码设置!$A:$C,2,FALSE),IF(Q2="单",VLOOKUP($A$1,换码设置!$A:$C,3,FALSE),0))</f>
        <v>#VALUE!</v>
      </c>
      <c r="R3" t="e">
        <f>MAX(0,SUM(IF(FREQUENCY(IF((R7:R14&gt;0)*($G7:$G14&lt;&gt;""),MATCH($G7:$G14,$G7:$G14,0)),ROW($G7:$G14)-ROW($G7)+1)&gt;0,1))-1)*IF(R2="双",VLOOKUP($A$1,换码设置!$A:$C,2,FALSE),IF(R2="单",VLOOKUP($A$1,换码设置!$A:$C,3,FALSE),0))</f>
        <v>#VALUE!</v>
      </c>
      <c r="S3" t="e">
        <f>MAX(0,SUM(IF(FREQUENCY(IF((S7:S14&gt;0)*($G7:$G14&lt;&gt;""),MATCH($G7:$G14,$G7:$G14,0)),ROW($G7:$G14)-ROW($G7)+1)&gt;0,1))-1)*IF(S2="双",VLOOKUP($A$1,换码设置!$A:$C,2,FALSE),IF(S2="单",VLOOKUP($A$1,换码设置!$A:$C,3,FALSE),0))</f>
        <v>#VALUE!</v>
      </c>
      <c r="T3" t="e">
        <f>MAX(0,SUM(IF(FREQUENCY(IF((T7:T14&gt;0)*($G7:$G14&lt;&gt;""),MATCH($G7:$G14,$G7:$G14,0)),ROW($G7:$G14)-ROW($G7)+1)&gt;0,1))-1)*IF(T2="双",VLOOKUP($A$1,换码设置!$A:$C,2,FALSE),IF(T2="单",VLOOKUP($A$1,换码设置!$A:$C,3,FALSE),0))</f>
        <v>#VALUE!</v>
      </c>
      <c r="U3" t="e">
        <f>MAX(0,SUM(IF(FREQUENCY(IF((U7:U14&gt;0)*($G7:$G14&lt;&gt;""),MATCH($G7:$G14,$G7:$G14,0)),ROW($G7:$G14)-ROW($G7)+1)&gt;0,1))-1)*IF(U2="双",VLOOKUP($A$1,换码设置!$A:$C,2,FALSE),IF(U2="单",VLOOKUP($A$1,换码设置!$A:$C,3,FALSE),0))</f>
        <v>#VALUE!</v>
      </c>
      <c r="V3" t="e">
        <f>MAX(0,SUM(IF(FREQUENCY(IF((V7:V14&gt;0)*($G7:$G14&lt;&gt;""),MATCH($G7:$G14,$G7:$G14,0)),ROW($G7:$G14)-ROW($G7)+1)&gt;0,1))-1)*IF(V2="双",VLOOKUP($A$1,换码设置!$A:$C,2,FALSE),IF(V2="单",VLOOKUP($A$1,换码设置!$A:$C,3,FALSE),0))</f>
        <v>#VALUE!</v>
      </c>
      <c r="W3" t="e">
        <f>MAX(0,SUM(IF(FREQUENCY(IF((W7:W14&gt;0)*($G7:$G14&lt;&gt;""),MATCH($G7:$G14,$G7:$G14,0)),ROW($G7:$G14)-ROW($G7)+1)&gt;0,1))-1)*IF(W2="双",VLOOKUP($A$1,换码设置!$A:$C,2,FALSE),IF(W2="单",VLOOKUP($A$1,换码设置!$A:$C,3,FALSE),0))</f>
        <v>#VALUE!</v>
      </c>
      <c r="X3" t="e">
        <f>MAX(0,SUM(IF(FREQUENCY(IF((X7:X14&gt;0)*($G7:$G14&lt;&gt;""),MATCH($G7:$G14,$G7:$G14,0)),ROW($G7:$G14)-ROW($G7)+1)&gt;0,1))-1)*IF(X2="双",VLOOKUP($A$1,换码设置!$A:$C,2,FALSE),IF(X2="单",VLOOKUP($A$1,换码设置!$A:$C,3,FALSE),0))</f>
        <v>#VALUE!</v>
      </c>
      <c r="Y3" t="e">
        <f>MAX(0,SUM(IF(FREQUENCY(IF((Y7:Y14&gt;0)*($G7:$G14&lt;&gt;""),MATCH($G7:$G14,$G7:$G14,0)),ROW($G7:$G14)-ROW($G7)+1)&gt;0,1))-1)*IF(Y2="双",VLOOKUP($A$1,换码设置!$A:$C,2,FALSE),IF(Y2="单",VLOOKUP($A$1,换码设置!$A:$C,3,FALSE),0))</f>
        <v>#VALUE!</v>
      </c>
      <c r="Z3" t="e">
        <f>MAX(0,SUM(IF(FREQUENCY(IF((Z7:Z14&gt;0)*($G7:$G14&lt;&gt;""),MATCH($G7:$G14,$G7:$G14,0)),ROW($G7:$G14)-ROW($G7)+1)&gt;0,1))-1)*IF(Z2="双",VLOOKUP($A$1,换码设置!$A:$C,2,FALSE),IF(Z2="单",VLOOKUP($A$1,换码设置!$A:$C,3,FALSE),0))</f>
        <v>#VALUE!</v>
      </c>
      <c r="AA3" t="e">
        <f>MAX(0,SUM(IF(FREQUENCY(IF((AA7:AA14&gt;0)*($G7:$G14&lt;&gt;""),MATCH($G7:$G14,$G7:$G14,0)),ROW($G7:$G14)-ROW($G7)+1)&gt;0,1))-1)*IF(AA2="双",VLOOKUP($A$1,换码设置!$A:$C,2,FALSE),IF(AA2="单",VLOOKUP($A$1,换码设置!$A:$C,3,FALSE),0))</f>
        <v>#VALUE!</v>
      </c>
      <c r="AB3" t="e">
        <f>MAX(0,SUM(IF(FREQUENCY(IF((AB7:AB14&gt;0)*($G7:$G14&lt;&gt;""),MATCH($G7:$G14,$G7:$G14,0)),ROW($G7:$G14)-ROW($G7)+1)&gt;0,1))-1)*IF(AB2="双",VLOOKUP($A$1,换码设置!$A:$C,2,FALSE),IF(AB2="单",VLOOKUP($A$1,换码设置!$A:$C,3,FALSE),0))</f>
        <v>#VALUE!</v>
      </c>
      <c r="AC3" t="e">
        <f>MAX(0,SUM(IF(FREQUENCY(IF((AC7:AC14&gt;0)*($G7:$G14&lt;&gt;""),MATCH($G7:$G14,$G7:$G14,0)),ROW($G7:$G14)-ROW($G7)+1)&gt;0,1))-1)*IF(AC2="双",VLOOKUP($A$1,换码设置!$A:$C,2,FALSE),IF(AC2="单",VLOOKUP($A$1,换码设置!$A:$C,3,FALSE),0))</f>
        <v>#VALUE!</v>
      </c>
      <c r="AD3" t="e">
        <f>MAX(0,SUM(IF(FREQUENCY(IF((AD7:AD14&gt;0)*($G7:$G14&lt;&gt;""),MATCH($G7:$G14,$G7:$G14,0)),ROW($G7:$G14)-ROW($G7)+1)&gt;0,1))-1)*IF(AD2="双",VLOOKUP($A$1,换码设置!$A:$C,2,FALSE),IF(AD2="单",VLOOKUP($A$1,换码设置!$A:$C,3,FALSE),0))</f>
        <v>#VALUE!</v>
      </c>
      <c r="AE3" t="e">
        <f>MAX(0,SUM(IF(FREQUENCY(IF((AE7:AE14&gt;0)*($G7:$G14&lt;&gt;""),MATCH($G7:$G14,$G7:$G14,0)),ROW($G7:$G14)-ROW($G7)+1)&gt;0,1))-1)*IF(AE2="双",VLOOKUP($A$1,换码设置!$A:$C,2,FALSE),IF(AE2="单",VLOOKUP($A$1,换码设置!$A:$C,3,FALSE),0))</f>
        <v>#VALUE!</v>
      </c>
      <c r="AF3" t="e">
        <f>MAX(0,SUM(IF(FREQUENCY(IF((AF7:AF14&gt;0)*($G7:$G14&lt;&gt;""),MATCH($G7:$G14,$G7:$G14,0)),ROW($G7:$G14)-ROW($G7)+1)&gt;0,1))-1)*IF(AF2="双",VLOOKUP($A$1,换码设置!$A:$C,2,FALSE),IF(AF2="单",VLOOKUP($A$1,换码设置!$A:$C,3,FALSE),0))</f>
        <v>#VALUE!</v>
      </c>
      <c r="AG3" t="e">
        <f>MAX(0,SUM(IF(FREQUENCY(IF((AG7:AG14&gt;0)*($G7:$G14&lt;&gt;""),MATCH($G7:$G14,$G7:$G14,0)),ROW($G7:$G14)-ROW($G7)+1)&gt;0,1))-1)*IF(AG2="双",VLOOKUP($A$1,换码设置!$A:$C,2,FALSE),IF(AG2="单",VLOOKUP($A$1,换码设置!$A:$C,3,FALSE),0))</f>
        <v>#VALUE!</v>
      </c>
      <c r="AH3" t="e">
        <f>MAX(0,SUM(IF(FREQUENCY(IF((AH7:AH14&gt;0)*($G7:$G14&lt;&gt;""),MATCH($G7:$G14,$G7:$G14,0)),ROW($G7:$G14)-ROW($G7)+1)&gt;0,1))-1)*IF(AH2="双",VLOOKUP($A$1,换码设置!$A:$C,2,FALSE),IF(AH2="单",VLOOKUP($A$1,换码设置!$A:$C,3,FALSE),0))</f>
        <v>#VALUE!</v>
      </c>
      <c r="AI3" t="e">
        <f>MAX(0,SUM(IF(FREQUENCY(IF((AI7:AI14&gt;0)*($G7:$G14&lt;&gt;""),MATCH($G7:$G14,$G7:$G14,0)),ROW($G7:$G14)-ROW($G7)+1)&gt;0,1))-1)*IF(AI2="双",VLOOKUP($A$1,换码设置!$A:$C,2,FALSE),IF(AI2="单",VLOOKUP($A$1,换码设置!$A:$C,3,FALSE),0))</f>
        <v>#VALUE!</v>
      </c>
      <c r="AJ3" t="e">
        <f>MAX(0,SUM(IF(FREQUENCY(IF((AJ7:AJ14&gt;0)*($G7:$G14&lt;&gt;""),MATCH($G7:$G14,$G7:$G14,0)),ROW($G7:$G14)-ROW($G7)+1)&gt;0,1))-1)*IF(AJ2="双",VLOOKUP($A$1,换码设置!$A:$C,2,FALSE),IF(AJ2="单",VLOOKUP($A$1,换码设置!$A:$C,3,FALSE),0))</f>
        <v>#VALUE!</v>
      </c>
      <c r="AK3" t="e">
        <f>MAX(0,SUM(IF(FREQUENCY(IF((AK7:AK14&gt;0)*($G7:$G14&lt;&gt;""),MATCH($G7:$G14,$G7:$G14,0)),ROW($G7:$G14)-ROW($G7)+1)&gt;0,1))-1)*IF(AK2="双",VLOOKUP($A$1,换码设置!$A:$C,2,FALSE),IF(AK2="单",VLOOKUP($A$1,换码设置!$A:$C,3,FALSE),0))</f>
        <v>#VALUE!</v>
      </c>
      <c r="AL3" t="e">
        <f>MAX(0,SUM(IF(FREQUENCY(IF((AL7:AL14&gt;0)*($G7:$G14&lt;&gt;""),MATCH($G7:$G14,$G7:$G14,0)),ROW($G7:$G14)-ROW($G7)+1)&gt;0,1))-1)*IF(AL2="双",VLOOKUP($A$1,换码设置!$A:$C,2,FALSE),IF(AL2="单",VLOOKUP($A$1,换码设置!$A:$C,3,FALSE),0))</f>
        <v>#VALUE!</v>
      </c>
      <c r="AM3" t="e">
        <f>MAX(0,SUM(IF(FREQUENCY(IF((AM7:AM14&gt;0)*($G7:$G14&lt;&gt;""),MATCH($G7:$G14,$G7:$G14,0)),ROW($G7:$G14)-ROW($G7)+1)&gt;0,1))-1)*IF(AM2="双",VLOOKUP($A$1,换码设置!$A:$C,2,FALSE),IF(AM2="单",VLOOKUP($A$1,换码设置!$A:$C,3,FALSE),0))</f>
        <v>#VALUE!</v>
      </c>
      <c r="AN3" t="e">
        <f>MAX(0,SUM(IF(FREQUENCY(IF((AN7:AN14&gt;0)*($G7:$G14&lt;&gt;""),MATCH($G7:$G14,$G7:$G14,0)),ROW($G7:$G14)-ROW($G7)+1)&gt;0,1))-1)*IF(AN2="双",VLOOKUP($A$1,换码设置!$A:$C,2,FALSE),IF(AN2="单",VLOOKUP($A$1,换码设置!$A:$C,3,FALSE),0))</f>
        <v>#VALUE!</v>
      </c>
      <c r="AO3" t="e">
        <f>MAX(0,SUM(IF(FREQUENCY(IF((AO7:AO14&gt;0)*($G7:$G14&lt;&gt;""),MATCH($G7:$G14,$G7:$G14,0)),ROW($G7:$G14)-ROW($G7)+1)&gt;0,1))-1)*IF(AO2="双",VLOOKUP($A$1,换码设置!$A:$C,2,FALSE),IF(AO2="单",VLOOKUP($A$1,换码设置!$A:$C,3,FALSE),0))</f>
        <v>#VALUE!</v>
      </c>
      <c r="AP3" t="e">
        <f>MAX(0,SUM(IF(FREQUENCY(IF((AP7:AP14&gt;0)*($G7:$G14&lt;&gt;""),MATCH($G7:$G14,$G7:$G14,0)),ROW($G7:$G14)-ROW($G7)+1)&gt;0,1))-1)*IF(AP2="双",VLOOKUP($A$1,换码设置!$A:$C,2,FALSE),IF(AP2="单",VLOOKUP($A$1,换码设置!$A:$C,3,FALSE),0))</f>
        <v>#VALUE!</v>
      </c>
      <c r="AQ3" t="e">
        <f>MAX(0,SUM(IF(FREQUENCY(IF((AQ7:AQ14&gt;0)*($G7:$G14&lt;&gt;""),MATCH($G7:$G14,$G7:$G14,0)),ROW($G7:$G14)-ROW($G7)+1)&gt;0,1))-1)*IF(AQ2="双",VLOOKUP($A$1,换码设置!$A:$C,2,FALSE),IF(AQ2="单",VLOOKUP($A$1,换码设置!$A:$C,3,FALSE),0))</f>
        <v>#VALUE!</v>
      </c>
      <c r="AR3" t="e">
        <f>MAX(0,SUM(IF(FREQUENCY(IF((AR7:AR14&gt;0)*($G7:$G14&lt;&gt;""),MATCH($G7:$G14,$G7:$G14,0)),ROW($G7:$G14)-ROW($G7)+1)&gt;0,1))-1)*IF(AR2="双",VLOOKUP($A$1,换码设置!$A:$C,2,FALSE),IF(AR2="单",VLOOKUP($A$1,换码设置!$A:$C,3,FALSE),0))</f>
        <v>#VALUE!</v>
      </c>
      <c r="AS3" t="e">
        <f>MAX(0,SUM(IF(FREQUENCY(IF((AS7:AS14&gt;0)*($G7:$G14&lt;&gt;""),MATCH($G7:$G14,$G7:$G14,0)),ROW($G7:$G14)-ROW($G7)+1)&gt;0,1))-1)*IF(AS2="双",VLOOKUP($A$1,换码设置!$A:$C,2,FALSE),IF(AS2="单",VLOOKUP($A$1,换码设置!$A:$C,3,FALSE),0))</f>
        <v>#VALUE!</v>
      </c>
      <c r="AT3" t="e">
        <f>MAX(0,SUM(IF(FREQUENCY(IF((AT7:AT14&gt;0)*($G7:$G14&lt;&gt;""),MATCH($G7:$G14,$G7:$G14,0)),ROW($G7:$G14)-ROW($G7)+1)&gt;0,1))-1)*IF(AT2="双",VLOOKUP($A$1,换码设置!$A:$C,2,FALSE),IF(AT2="单",VLOOKUP($A$1,换码设置!$A:$C,3,FALSE),0))</f>
        <v>#VALUE!</v>
      </c>
      <c r="AU3" t="e">
        <f>MAX(0,SUM(IF(FREQUENCY(IF((AU7:AU14&gt;0)*($G7:$G14&lt;&gt;""),MATCH($G7:$G14,$G7:$G14,0)),ROW($G7:$G14)-ROW($G7)+1)&gt;0,1))-1)*IF(AU2="双",VLOOKUP($A$1,换码设置!$A:$C,2,FALSE),IF(AU2="单",VLOOKUP($A$1,换码设置!$A:$C,3,FALSE),0))</f>
        <v>#VALUE!</v>
      </c>
      <c r="AV3" t="e">
        <f>MAX(0,SUM(IF(FREQUENCY(IF((AV7:AV14&gt;0)*($G7:$G14&lt;&gt;""),MATCH($G7:$G14,$G7:$G14,0)),ROW($G7:$G14)-ROW($G7)+1)&gt;0,1))-1)*IF(AV2="双",VLOOKUP($A$1,换码设置!$A:$C,2,FALSE),IF(AV2="单",VLOOKUP($A$1,换码设置!$A:$C,3,FALSE),0))</f>
        <v>#VALUE!</v>
      </c>
      <c r="AW3" t="e">
        <f>MAX(0,SUM(IF(FREQUENCY(IF((AW7:AW14&gt;0)*($G7:$G14&lt;&gt;""),MATCH($G7:$G14,$G7:$G14,0)),ROW($G7:$G14)-ROW($G7)+1)&gt;0,1))-1)*IF(AW2="双",VLOOKUP($A$1,换码设置!$A:$C,2,FALSE),IF(AW2="单",VLOOKUP($A$1,换码设置!$A:$C,3,FALSE),0))</f>
        <v>#VALUE!</v>
      </c>
      <c r="AX3" t="e">
        <f>MAX(0,SUM(IF(FREQUENCY(IF((AX7:AX14&gt;0)*($G7:$G14&lt;&gt;""),MATCH($G7:$G14,$G7:$G14,0)),ROW($G7:$G14)-ROW($G7)+1)&gt;0,1))-1)*IF(AX2="双",VLOOKUP($A$1,换码设置!$A:$C,2,FALSE),IF(AX2="单",VLOOKUP($A$1,换码设置!$A:$C,3,FALSE),0))</f>
        <v>#VALUE!</v>
      </c>
      <c r="AY3" t="e">
        <f>MAX(0,SUM(IF(FREQUENCY(IF((AY7:AY14&gt;0)*($G7:$G14&lt;&gt;""),MATCH($G7:$G14,$G7:$G14,0)),ROW($G7:$G14)-ROW($G7)+1)&gt;0,1))-1)*IF(AY2="双",VLOOKUP($A$1,换码设置!$A:$C,2,FALSE),IF(AY2="单",VLOOKUP($A$1,换码设置!$A:$C,3,FALSE),0))</f>
        <v>#VALUE!</v>
      </c>
      <c r="AZ3" t="e">
        <f>MAX(0,SUM(IF(FREQUENCY(IF((AZ7:AZ14&gt;0)*($G7:$G14&lt;&gt;""),MATCH($G7:$G14,$G7:$G14,0)),ROW($G7:$G14)-ROW($G7)+1)&gt;0,1))-1)*IF(AZ2="双",VLOOKUP($A$1,换码设置!$A:$C,2,FALSE),IF(AZ2="单",VLOOKUP($A$1,换码设置!$A:$C,3,FALSE),0))</f>
        <v>#VALUE!</v>
      </c>
      <c r="BA3" t="e">
        <f>MAX(0,SUM(IF(FREQUENCY(IF((BA7:BA14&gt;0)*($G7:$G14&lt;&gt;""),MATCH($G7:$G14,$G7:$G14,0)),ROW($G7:$G14)-ROW($G7)+1)&gt;0,1))-1)*IF(BA2="双",VLOOKUP($A$1,换码设置!$A:$C,2,FALSE),IF(BA2="单",VLOOKUP($A$1,换码设置!$A:$C,3,FALSE),0))</f>
        <v>#VALUE!</v>
      </c>
      <c r="BB3" t="e">
        <f>MAX(0,SUM(IF(FREQUENCY(IF((BB7:BB14&gt;0)*($G7:$G14&lt;&gt;""),MATCH($G7:$G14,$G7:$G14,0)),ROW($G7:$G14)-ROW($G7)+1)&gt;0,1))-1)*IF(BB2="双",VLOOKUP($A$1,换码设置!$A:$C,2,FALSE),IF(BB2="单",VLOOKUP($A$1,换码设置!$A:$C,3,FALSE),0))</f>
        <v>#VALUE!</v>
      </c>
      <c r="BC3" t="e">
        <f>MAX(0,SUM(IF(FREQUENCY(IF((BC7:BC14&gt;0)*($G7:$G14&lt;&gt;""),MATCH($G7:$G14,$G7:$G14,0)),ROW($G7:$G14)-ROW($G7)+1)&gt;0,1))-1)*IF(BC2="双",VLOOKUP($A$1,换码设置!$A:$C,2,FALSE),IF(BC2="单",VLOOKUP($A$1,换码设置!$A:$C,3,FALSE),0))</f>
        <v>#VALUE!</v>
      </c>
      <c r="BD3" t="e">
        <f>MAX(0,SUM(IF(FREQUENCY(IF((BD7:BD14&gt;0)*($G7:$G14&lt;&gt;""),MATCH($G7:$G14,$G7:$G14,0)),ROW($G7:$G14)-ROW($G7)+1)&gt;0,1))-1)*IF(BD2="双",VLOOKUP($A$1,换码设置!$A:$C,2,FALSE),IF(BD2="单",VLOOKUP($A$1,换码设置!$A:$C,3,FALSE),0))</f>
        <v>#VALUE!</v>
      </c>
      <c r="BE3" t="e">
        <f>MAX(0,SUM(IF(FREQUENCY(IF((BE7:BE14&gt;0)*($G7:$G14&lt;&gt;""),MATCH($G7:$G14,$G7:$G14,0)),ROW($G7:$G14)-ROW($G7)+1)&gt;0,1))-1)*IF(BE2="双",VLOOKUP($A$1,换码设置!$A:$C,2,FALSE),IF(BE2="单",VLOOKUP($A$1,换码设置!$A:$C,3,FALSE),0))</f>
        <v>#VALUE!</v>
      </c>
      <c r="BF3" t="e">
        <f>MAX(0,SUM(IF(FREQUENCY(IF((BF7:BF14&gt;0)*($G7:$G14&lt;&gt;""),MATCH($G7:$G14,$G7:$G14,0)),ROW($G7:$G14)-ROW($G7)+1)&gt;0,1))-1)*IF(BF2="双",VLOOKUP($A$1,换码设置!$A:$C,2,FALSE),IF(BF2="单",VLOOKUP($A$1,换码设置!$A:$C,3,FALSE),0))</f>
        <v>#VALUE!</v>
      </c>
      <c r="BG3" t="e">
        <f>MAX(0,SUM(IF(FREQUENCY(IF((BG7:BG14&gt;0)*($G7:$G14&lt;&gt;""),MATCH($G7:$G14,$G7:$G14,0)),ROW($G7:$G14)-ROW($G7)+1)&gt;0,1))-1)*IF(BG2="双",VLOOKUP($A$1,换码设置!$A:$C,2,FALSE),IF(BG2="单",VLOOKUP($A$1,换码设置!$A:$C,3,FALSE),0))</f>
        <v>#VALUE!</v>
      </c>
      <c r="BH3" t="e">
        <f>MAX(0,SUM(IF(FREQUENCY(IF((BH7:BH14&gt;0)*($G7:$G14&lt;&gt;""),MATCH($G7:$G14,$G7:$G14,0)),ROW($G7:$G14)-ROW($G7)+1)&gt;0,1))-1)*IF(BH2="双",VLOOKUP($A$1,换码设置!$A:$C,2,FALSE),IF(BH2="单",VLOOKUP($A$1,换码设置!$A:$C,3,FALSE),0))</f>
        <v>#VALUE!</v>
      </c>
      <c r="BI3" t="e">
        <f>MAX(0,SUM(IF(FREQUENCY(IF((BI7:BI14&gt;0)*($G7:$G14&lt;&gt;""),MATCH($G7:$G14,$G7:$G14,0)),ROW($G7:$G14)-ROW($G7)+1)&gt;0,1))-1)*IF(BI2="双",VLOOKUP($A$1,换码设置!$A:$C,2,FALSE),IF(BI2="单",VLOOKUP($A$1,换码设置!$A:$C,3,FALSE),0))</f>
        <v>#VALUE!</v>
      </c>
      <c r="BJ3" t="e">
        <f>MAX(0,SUM(IF(FREQUENCY(IF((BJ7:BJ14&gt;0)*($G7:$G14&lt;&gt;""),MATCH($G7:$G14,$G7:$G14,0)),ROW($G7:$G14)-ROW($G7)+1)&gt;0,1))-1)*IF(BJ2="双",VLOOKUP($A$1,换码设置!$A:$C,2,FALSE),IF(BJ2="单",VLOOKUP($A$1,换码设置!$A:$C,3,FALSE),0))</f>
        <v>#VALUE!</v>
      </c>
      <c r="BK3" t="e">
        <f>MAX(0,SUM(IF(FREQUENCY(IF((BK7:BK14&gt;0)*($G7:$G14&lt;&gt;""),MATCH($G7:$G14,$G7:$G14,0)),ROW($G7:$G14)-ROW($G7)+1)&gt;0,1))-1)*IF(BK2="双",VLOOKUP($A$1,换码设置!$A:$C,2,FALSE),IF(BK2="单",VLOOKUP($A$1,换码设置!$A:$C,3,FALSE),0))</f>
        <v>#VALUE!</v>
      </c>
      <c r="BL3" t="e">
        <f>MAX(0,SUM(IF(FREQUENCY(IF((BL7:BL14&gt;0)*($G7:$G14&lt;&gt;""),MATCH($G7:$G14,$G7:$G14,0)),ROW($G7:$G14)-ROW($G7)+1)&gt;0,1))-1)*IF(BL2="双",VLOOKUP($A$1,换码设置!$A:$C,2,FALSE),IF(BL2="单",VLOOKUP($A$1,换码设置!$A:$C,3,FALSE),0))</f>
        <v>#VALUE!</v>
      </c>
      <c r="BM3" t="e">
        <f>MAX(0,SUM(IF(FREQUENCY(IF((BM7:BM14&gt;0)*($G7:$G14&lt;&gt;""),MATCH($G7:$G14,$G7:$G14,0)),ROW($G7:$G14)-ROW($G7)+1)&gt;0,1))-1)*IF(BM2="双",VLOOKUP($A$1,换码设置!$A:$C,2,FALSE),IF(BM2="单",VLOOKUP($A$1,换码设置!$A:$C,3,FALSE),0))</f>
        <v>#VALUE!</v>
      </c>
      <c r="BN3" t="e">
        <f>MAX(0,SUM(IF(FREQUENCY(IF((BN7:BN14&gt;0)*($G7:$G14&lt;&gt;""),MATCH($G7:$G14,$G7:$G14,0)),ROW($G7:$G14)-ROW($G7)+1)&gt;0,1))-1)*IF(BN2="双",VLOOKUP($A$1,换码设置!$A:$C,2,FALSE),IF(BN2="单",VLOOKUP($A$1,换码设置!$A:$C,3,FALSE),0))</f>
        <v>#VALUE!</v>
      </c>
      <c r="BO3" t="e">
        <f>MAX(0,SUM(IF(FREQUENCY(IF((BO7:BO14&gt;0)*($G7:$G14&lt;&gt;""),MATCH($G7:$G14,$G7:$G14,0)),ROW($G7:$G14)-ROW($G7)+1)&gt;0,1))-1)*IF(BO2="双",VLOOKUP($A$1,换码设置!$A:$C,2,FALSE),IF(BO2="单",VLOOKUP($A$1,换码设置!$A:$C,3,FALSE),0))</f>
        <v>#VALUE!</v>
      </c>
      <c r="BP3" t="e">
        <f>MAX(0,SUM(IF(FREQUENCY(IF((BP7:BP14&gt;0)*($G7:$G14&lt;&gt;""),MATCH($G7:$G14,$G7:$G14,0)),ROW($G7:$G14)-ROW($G7)+1)&gt;0,1))-1)*IF(BP2="双",VLOOKUP($A$1,换码设置!$A:$C,2,FALSE),IF(BP2="单",VLOOKUP($A$1,换码设置!$A:$C,3,FALSE),0))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0"/>
      <c r="G5" s="100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ht="15.5" customHeight="1">
      <c r="A7" s="29" t="s">
        <v>442</v>
      </c>
      <c r="B7" s="29"/>
      <c r="C7" s="29"/>
      <c r="D7" s="19" t="s">
        <v>443</v>
      </c>
      <c r="E7" s="29" t="s">
        <v>444</v>
      </c>
      <c r="F7" s="29">
        <v>17</v>
      </c>
      <c r="G7" s="29">
        <v>12</v>
      </c>
      <c r="H7" s="29"/>
      <c r="I7" s="23"/>
      <c r="J7" s="29">
        <v>1414</v>
      </c>
      <c r="K7" s="29" t="e">
        <f t="shared" ref="K7:K14" si="2">F6*G6*J6</f>
        <v>#VALUE!</v>
      </c>
      <c r="L7" s="29">
        <v>0</v>
      </c>
      <c r="M7" s="28">
        <v>980</v>
      </c>
      <c r="N7" s="28">
        <v>434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29" t="s">
        <v>445</v>
      </c>
      <c r="B8" s="29"/>
      <c r="C8" s="29"/>
      <c r="D8" s="19" t="s">
        <v>446</v>
      </c>
      <c r="E8" s="29" t="s">
        <v>447</v>
      </c>
      <c r="F8" s="29">
        <v>34</v>
      </c>
      <c r="G8" s="29">
        <v>6</v>
      </c>
      <c r="H8" s="29"/>
      <c r="I8" s="23"/>
      <c r="J8" s="29">
        <v>3525</v>
      </c>
      <c r="K8" s="29">
        <f t="shared" si="2"/>
        <v>288456</v>
      </c>
      <c r="L8" s="29">
        <v>0</v>
      </c>
      <c r="M8" s="28"/>
      <c r="N8" s="28">
        <v>546</v>
      </c>
      <c r="O8" s="28">
        <v>980</v>
      </c>
      <c r="P8" s="28">
        <v>980</v>
      </c>
      <c r="Q8" s="28"/>
      <c r="R8" s="28">
        <v>980</v>
      </c>
      <c r="S8" s="28">
        <v>39</v>
      </c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5.5" customHeight="1">
      <c r="A9" s="29" t="s">
        <v>445</v>
      </c>
      <c r="B9" s="29"/>
      <c r="C9" s="29"/>
      <c r="D9" s="19" t="s">
        <v>448</v>
      </c>
      <c r="E9" s="29" t="s">
        <v>447</v>
      </c>
      <c r="F9" s="29">
        <v>34</v>
      </c>
      <c r="G9" s="29">
        <v>6</v>
      </c>
      <c r="H9" s="29"/>
      <c r="I9" s="23"/>
      <c r="J9" s="29">
        <v>5000</v>
      </c>
      <c r="K9" s="29">
        <f t="shared" si="2"/>
        <v>719100</v>
      </c>
      <c r="L9" s="29">
        <v>0</v>
      </c>
      <c r="M9" s="28"/>
      <c r="N9" s="28"/>
      <c r="O9" s="28"/>
      <c r="P9" s="28"/>
      <c r="Q9" s="28"/>
      <c r="R9" s="28"/>
      <c r="S9" s="28">
        <v>941</v>
      </c>
      <c r="T9" s="28">
        <v>980</v>
      </c>
      <c r="U9" s="28">
        <v>980</v>
      </c>
      <c r="V9" s="28">
        <v>980</v>
      </c>
      <c r="W9" s="28">
        <v>980</v>
      </c>
      <c r="X9" s="28"/>
      <c r="Y9" s="28">
        <v>139</v>
      </c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ht="15.5" customHeight="1">
      <c r="A10" s="29" t="s">
        <v>442</v>
      </c>
      <c r="B10" s="29"/>
      <c r="C10" s="29"/>
      <c r="D10" s="19" t="s">
        <v>449</v>
      </c>
      <c r="E10" s="29" t="s">
        <v>444</v>
      </c>
      <c r="F10" s="29">
        <v>17</v>
      </c>
      <c r="G10" s="29">
        <v>12</v>
      </c>
      <c r="H10" s="29"/>
      <c r="I10" s="23"/>
      <c r="J10" s="29">
        <v>5000</v>
      </c>
      <c r="K10" s="29">
        <f t="shared" si="2"/>
        <v>1020000</v>
      </c>
      <c r="L10" s="29">
        <v>0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>
        <v>841</v>
      </c>
      <c r="Z10" s="28">
        <v>980</v>
      </c>
      <c r="AA10" s="28">
        <v>980</v>
      </c>
      <c r="AB10" s="28">
        <v>980</v>
      </c>
      <c r="AC10" s="28">
        <v>980</v>
      </c>
      <c r="AD10" s="28">
        <v>239</v>
      </c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5.5" customHeight="1">
      <c r="A11" s="29" t="s">
        <v>450</v>
      </c>
      <c r="B11" s="29"/>
      <c r="C11" s="29"/>
      <c r="D11" s="19"/>
      <c r="E11" s="29" t="s">
        <v>451</v>
      </c>
      <c r="F11" s="29">
        <v>48</v>
      </c>
      <c r="G11" s="29">
        <v>4</v>
      </c>
      <c r="H11" s="29"/>
      <c r="I11" s="23"/>
      <c r="J11" s="29">
        <v>500</v>
      </c>
      <c r="K11" s="29">
        <f t="shared" si="2"/>
        <v>1020000</v>
      </c>
      <c r="L11" s="29">
        <v>0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>
        <v>500</v>
      </c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ht="15.5" customHeight="1">
      <c r="A12" s="29" t="s">
        <v>452</v>
      </c>
      <c r="B12" s="29"/>
      <c r="C12" s="29"/>
      <c r="D12" s="19" t="s">
        <v>453</v>
      </c>
      <c r="E12" s="29" t="s">
        <v>454</v>
      </c>
      <c r="F12" s="29">
        <v>13</v>
      </c>
      <c r="G12" s="29">
        <v>14</v>
      </c>
      <c r="H12" s="29"/>
      <c r="I12" s="23"/>
      <c r="J12" s="29">
        <v>1000</v>
      </c>
      <c r="K12" s="29">
        <f t="shared" si="2"/>
        <v>96000</v>
      </c>
      <c r="L12" s="29">
        <v>0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>
        <v>304</v>
      </c>
      <c r="AE12" s="28"/>
      <c r="AF12" s="28">
        <v>696</v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8" ht="15.5" customHeight="1">
      <c r="A13" s="29" t="s">
        <v>455</v>
      </c>
      <c r="B13" s="29"/>
      <c r="C13" s="29"/>
      <c r="D13" s="19"/>
      <c r="E13" s="29" t="s">
        <v>456</v>
      </c>
      <c r="F13" s="29">
        <v>30</v>
      </c>
      <c r="G13" s="29">
        <v>6</v>
      </c>
      <c r="H13" s="29"/>
      <c r="I13" s="23"/>
      <c r="J13" s="29">
        <v>500</v>
      </c>
      <c r="K13" s="29">
        <f t="shared" si="2"/>
        <v>182000</v>
      </c>
      <c r="L13" s="29">
        <v>0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>
        <v>407</v>
      </c>
      <c r="AG13" s="28">
        <v>93</v>
      </c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  <row r="14" spans="1:68" ht="17" customHeight="1">
      <c r="A14" s="29" t="s">
        <v>457</v>
      </c>
      <c r="B14" s="29"/>
      <c r="C14" s="29"/>
      <c r="D14" s="19"/>
      <c r="E14" s="29" t="s">
        <v>458</v>
      </c>
      <c r="F14" s="29">
        <v>46</v>
      </c>
      <c r="G14" s="29">
        <v>4</v>
      </c>
      <c r="H14" s="29"/>
      <c r="I14" s="23"/>
      <c r="J14" s="29">
        <v>1000</v>
      </c>
      <c r="K14" s="29">
        <f t="shared" si="2"/>
        <v>90000</v>
      </c>
      <c r="L14" s="29">
        <v>0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>
        <v>996</v>
      </c>
      <c r="AH14" s="28">
        <v>4</v>
      </c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</sheetData>
  <mergeCells count="3">
    <mergeCell ref="A1:H4"/>
    <mergeCell ref="I3:J4"/>
    <mergeCell ref="F5:G5"/>
  </mergeCells>
  <phoneticPr fontId="19" type="noConversion"/>
  <conditionalFormatting sqref="K6">
    <cfRule type="cellIs" dxfId="105" priority="65" stopIfTrue="1" operator="equal">
      <formula>"C-B&gt;10"</formula>
    </cfRule>
    <cfRule type="cellIs" dxfId="104" priority="66" stopIfTrue="1" operator="equal">
      <formula>"C-B&gt;30"</formula>
    </cfRule>
  </conditionalFormatting>
  <conditionalFormatting sqref="L6">
    <cfRule type="cellIs" dxfId="103" priority="63" stopIfTrue="1" operator="equal">
      <formula>"C-B&gt;10"</formula>
    </cfRule>
    <cfRule type="cellIs" dxfId="102" priority="64" stopIfTrue="1" operator="equal">
      <formula>"C-B&gt;30"</formula>
    </cfRule>
  </conditionalFormatting>
  <conditionalFormatting sqref="K7">
    <cfRule type="cellIs" dxfId="101" priority="57" stopIfTrue="1" operator="equal">
      <formula>"C-B&gt;10"</formula>
    </cfRule>
    <cfRule type="cellIs" dxfId="100" priority="58" stopIfTrue="1" operator="equal">
      <formula>"C-B&gt;30"</formula>
    </cfRule>
  </conditionalFormatting>
  <conditionalFormatting sqref="L7">
    <cfRule type="cellIs" dxfId="99" priority="55" stopIfTrue="1" operator="equal">
      <formula>"C-B&gt;10"</formula>
    </cfRule>
    <cfRule type="cellIs" dxfId="98" priority="56" stopIfTrue="1" operator="equal">
      <formula>"C-B&gt;30"</formula>
    </cfRule>
  </conditionalFormatting>
  <conditionalFormatting sqref="K8">
    <cfRule type="cellIs" dxfId="97" priority="79" stopIfTrue="1" operator="equal">
      <formula>"C-B&gt;10"</formula>
    </cfRule>
    <cfRule type="cellIs" dxfId="96" priority="80" stopIfTrue="1" operator="equal">
      <formula>"C-B&gt;30"</formula>
    </cfRule>
  </conditionalFormatting>
  <conditionalFormatting sqref="L8">
    <cfRule type="cellIs" dxfId="95" priority="77" stopIfTrue="1" operator="equal">
      <formula>"C-B&gt;10"</formula>
    </cfRule>
    <cfRule type="cellIs" dxfId="94" priority="78" stopIfTrue="1" operator="equal">
      <formula>"C-B&gt;30"</formula>
    </cfRule>
  </conditionalFormatting>
  <conditionalFormatting sqref="D11">
    <cfRule type="cellIs" dxfId="93" priority="39" stopIfTrue="1" operator="equal">
      <formula>"C-B&gt;10"</formula>
    </cfRule>
    <cfRule type="cellIs" dxfId="92" priority="40" stopIfTrue="1" operator="equal">
      <formula>"C-B&gt;30"</formula>
    </cfRule>
  </conditionalFormatting>
  <conditionalFormatting sqref="K11">
    <cfRule type="cellIs" dxfId="91" priority="43" stopIfTrue="1" operator="equal">
      <formula>"C-B&gt;10"</formula>
    </cfRule>
    <cfRule type="cellIs" dxfId="90" priority="44" stopIfTrue="1" operator="equal">
      <formula>"C-B&gt;30"</formula>
    </cfRule>
  </conditionalFormatting>
  <conditionalFormatting sqref="L11">
    <cfRule type="cellIs" dxfId="89" priority="47" stopIfTrue="1" operator="equal">
      <formula>"C-B&gt;10"</formula>
    </cfRule>
    <cfRule type="cellIs" dxfId="88" priority="48" stopIfTrue="1" operator="equal">
      <formula>"C-B&gt;30"</formula>
    </cfRule>
  </conditionalFormatting>
  <conditionalFormatting sqref="D12">
    <cfRule type="cellIs" dxfId="87" priority="13" stopIfTrue="1" operator="equal">
      <formula>"C-B&gt;10"</formula>
    </cfRule>
    <cfRule type="cellIs" dxfId="86" priority="14" stopIfTrue="1" operator="equal">
      <formula>"C-B&gt;30"</formula>
    </cfRule>
  </conditionalFormatting>
  <conditionalFormatting sqref="L12">
    <cfRule type="cellIs" dxfId="85" priority="19" stopIfTrue="1" operator="equal">
      <formula>"C-B&gt;10"</formula>
    </cfRule>
    <cfRule type="cellIs" dxfId="84" priority="20" stopIfTrue="1" operator="equal">
      <formula>"C-B&gt;30"</formula>
    </cfRule>
  </conditionalFormatting>
  <conditionalFormatting sqref="D13">
    <cfRule type="cellIs" dxfId="83" priority="3" stopIfTrue="1" operator="equal">
      <formula>"C-B&gt;10"</formula>
    </cfRule>
    <cfRule type="cellIs" dxfId="82" priority="4" stopIfTrue="1" operator="equal">
      <formula>"C-B&gt;30"</formula>
    </cfRule>
  </conditionalFormatting>
  <conditionalFormatting sqref="L13">
    <cfRule type="cellIs" dxfId="81" priority="9" stopIfTrue="1" operator="equal">
      <formula>"C-B&gt;10"</formula>
    </cfRule>
    <cfRule type="cellIs" dxfId="80" priority="10" stopIfTrue="1" operator="equal">
      <formula>"C-B&gt;30"</formula>
    </cfRule>
  </conditionalFormatting>
  <conditionalFormatting sqref="D6:D7">
    <cfRule type="cellIs" dxfId="79" priority="41" stopIfTrue="1" operator="equal">
      <formula>"C-B&gt;10"</formula>
    </cfRule>
    <cfRule type="cellIs" dxfId="78" priority="42" stopIfTrue="1" operator="equal">
      <formula>"C-B&gt;30"</formula>
    </cfRule>
  </conditionalFormatting>
  <conditionalFormatting sqref="K9:K10">
    <cfRule type="cellIs" dxfId="77" priority="73" stopIfTrue="1" operator="equal">
      <formula>"C-B&gt;10"</formula>
    </cfRule>
    <cfRule type="cellIs" dxfId="76" priority="74" stopIfTrue="1" operator="equal">
      <formula>"C-B&gt;30"</formula>
    </cfRule>
  </conditionalFormatting>
  <conditionalFormatting sqref="K12:K13">
    <cfRule type="cellIs" dxfId="75" priority="1" stopIfTrue="1" operator="equal">
      <formula>"C-B&gt;10"</formula>
    </cfRule>
    <cfRule type="cellIs" dxfId="74" priority="2" stopIfTrue="1" operator="equal">
      <formula>"C-B&gt;30"</formula>
    </cfRule>
  </conditionalFormatting>
  <conditionalFormatting sqref="L9:L10">
    <cfRule type="cellIs" dxfId="73" priority="71" stopIfTrue="1" operator="equal">
      <formula>"C-B&gt;10"</formula>
    </cfRule>
    <cfRule type="cellIs" dxfId="72" priority="72" stopIfTrue="1" operator="equal">
      <formula>"C-B&gt;30"</formula>
    </cfRule>
  </conditionalFormatting>
  <conditionalFormatting sqref="A6:C6 E6:G6">
    <cfRule type="cellIs" dxfId="71" priority="61" stopIfTrue="1" operator="equal">
      <formula>"C-B&gt;10"</formula>
    </cfRule>
    <cfRule type="cellIs" dxfId="70" priority="62" stopIfTrue="1" operator="equal">
      <formula>"C-B&gt;30"</formula>
    </cfRule>
  </conditionalFormatting>
  <conditionalFormatting sqref="H6 J6">
    <cfRule type="cellIs" dxfId="69" priority="67" stopIfTrue="1" operator="equal">
      <formula>"C-B&gt;10"</formula>
    </cfRule>
    <cfRule type="cellIs" dxfId="68" priority="68" stopIfTrue="1" operator="equal">
      <formula>"C-B&gt;30"</formula>
    </cfRule>
  </conditionalFormatting>
  <conditionalFormatting sqref="A7:C7 E7:G7">
    <cfRule type="cellIs" dxfId="67" priority="53" stopIfTrue="1" operator="equal">
      <formula>"C-B&gt;10"</formula>
    </cfRule>
    <cfRule type="cellIs" dxfId="66" priority="54" stopIfTrue="1" operator="equal">
      <formula>"C-B&gt;30"</formula>
    </cfRule>
  </conditionalFormatting>
  <conditionalFormatting sqref="H7 J7">
    <cfRule type="cellIs" dxfId="65" priority="59" stopIfTrue="1" operator="equal">
      <formula>"C-B&gt;10"</formula>
    </cfRule>
    <cfRule type="cellIs" dxfId="64" priority="60" stopIfTrue="1" operator="equal">
      <formula>"C-B&gt;30"</formula>
    </cfRule>
  </conditionalFormatting>
  <conditionalFormatting sqref="A8:G10">
    <cfRule type="cellIs" dxfId="63" priority="69" stopIfTrue="1" operator="equal">
      <formula>"C-B&gt;10"</formula>
    </cfRule>
    <cfRule type="cellIs" dxfId="62" priority="70" stopIfTrue="1" operator="equal">
      <formula>"C-B&gt;30"</formula>
    </cfRule>
  </conditionalFormatting>
  <conditionalFormatting sqref="H8 J8">
    <cfRule type="cellIs" dxfId="61" priority="81" stopIfTrue="1" operator="equal">
      <formula>"C-B&gt;10"</formula>
    </cfRule>
    <cfRule type="cellIs" dxfId="60" priority="82" stopIfTrue="1" operator="equal">
      <formula>"C-B&gt;30"</formula>
    </cfRule>
  </conditionalFormatting>
  <conditionalFormatting sqref="H9 H10 J9 J10">
    <cfRule type="cellIs" dxfId="59" priority="75" stopIfTrue="1" operator="equal">
      <formula>"C-B&gt;10"</formula>
    </cfRule>
    <cfRule type="cellIs" dxfId="58" priority="76" stopIfTrue="1" operator="equal">
      <formula>"C-B&gt;30"</formula>
    </cfRule>
  </conditionalFormatting>
  <conditionalFormatting sqref="A11:C11 E11:G11">
    <cfRule type="cellIs" dxfId="57" priority="45" stopIfTrue="1" operator="equal">
      <formula>"C-B&gt;10"</formula>
    </cfRule>
    <cfRule type="cellIs" dxfId="56" priority="46" stopIfTrue="1" operator="equal">
      <formula>"C-B&gt;30"</formula>
    </cfRule>
  </conditionalFormatting>
  <conditionalFormatting sqref="H11 J11">
    <cfRule type="cellIs" dxfId="55" priority="51" stopIfTrue="1" operator="equal">
      <formula>"C-B&gt;10"</formula>
    </cfRule>
    <cfRule type="cellIs" dxfId="54" priority="52" stopIfTrue="1" operator="equal">
      <formula>"C-B&gt;30"</formula>
    </cfRule>
  </conditionalFormatting>
  <conditionalFormatting sqref="A12:C12 E12:G12">
    <cfRule type="cellIs" dxfId="53" priority="17" stopIfTrue="1" operator="equal">
      <formula>"C-B&gt;10"</formula>
    </cfRule>
    <cfRule type="cellIs" dxfId="52" priority="18" stopIfTrue="1" operator="equal">
      <formula>"C-B&gt;30"</formula>
    </cfRule>
  </conditionalFormatting>
  <conditionalFormatting sqref="H12 J12">
    <cfRule type="cellIs" dxfId="51" priority="21" stopIfTrue="1" operator="equal">
      <formula>"C-B&gt;10"</formula>
    </cfRule>
    <cfRule type="cellIs" dxfId="50" priority="22" stopIfTrue="1" operator="equal">
      <formula>"C-B&gt;30"</formula>
    </cfRule>
  </conditionalFormatting>
  <conditionalFormatting sqref="A13:C13 E13:G13">
    <cfRule type="cellIs" dxfId="49" priority="7" stopIfTrue="1" operator="equal">
      <formula>"C-B&gt;10"</formula>
    </cfRule>
    <cfRule type="cellIs" dxfId="48" priority="8" stopIfTrue="1" operator="equal">
      <formula>"C-B&gt;30"</formula>
    </cfRule>
  </conditionalFormatting>
  <conditionalFormatting sqref="H13 J13">
    <cfRule type="cellIs" dxfId="47" priority="11" stopIfTrue="1" operator="equal">
      <formula>"C-B&gt;10"</formula>
    </cfRule>
    <cfRule type="cellIs" dxfId="46" priority="12" stopIfTrue="1" operator="equal">
      <formula>"C-B&gt;30"</formula>
    </cfRule>
  </conditionalFormatting>
  <dataValidations count="1">
    <dataValidation type="list" allowBlank="1" showInputMessage="1" showErrorMessage="1" sqref="M2:BP2" xr:uid="{00000000-0002-0000-0B00-000000000000}">
      <formula1>"单,双"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Q11"/>
  <sheetViews>
    <sheetView showGridLines="0" zoomScale="70" zoomScaleNormal="70" workbookViewId="0">
      <pane xSplit="12" ySplit="4" topLeftCell="M5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7.83203125" style="91" customWidth="1"/>
    <col min="2" max="2" width="11.83203125" style="91" customWidth="1"/>
    <col min="3" max="3" width="14.83203125" style="91" customWidth="1"/>
    <col min="4" max="4" width="21.83203125" style="91" customWidth="1"/>
    <col min="5" max="5" width="60.664062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.5" style="91" customWidth="1"/>
    <col min="13" max="16" width="10.1640625" style="91" customWidth="1"/>
    <col min="17" max="17" width="9" style="91" customWidth="1"/>
    <col min="18" max="18" width="10.1640625" style="91" customWidth="1"/>
    <col min="19" max="69" width="9" style="91" customWidth="1"/>
  </cols>
  <sheetData>
    <row r="1" spans="1:69" s="1" customFormat="1" ht="16.25" customHeight="1">
      <c r="A1" s="99" t="s">
        <v>133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178200</v>
      </c>
      <c r="K1" s="5" t="s">
        <v>2</v>
      </c>
      <c r="L1" s="6"/>
    </row>
    <row r="2" spans="1:69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324000</v>
      </c>
      <c r="K2" s="5" t="s">
        <v>137</v>
      </c>
      <c r="L2" s="7" t="e">
        <f>SUM(#REF!)</f>
        <v>#REF!</v>
      </c>
      <c r="M2" s="8" t="s">
        <v>5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</row>
    <row r="3" spans="1:69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MAX(0,SUM(IF(FREQUENCY(IF((M7:M11&gt;0)*($G7:$G11&lt;&gt;""),MATCH($G7:$G11,$G7:$G11,0)),ROW($G7:$G11)-ROW($G7)+1)&gt;0,1))-1)*IF(M2="双",VLOOKUP($A$1,换码设置!$A:$C,2,FALSE),IF(M2="单",VLOOKUP($A$1,换码设置!$A:$C,3,FALSE),0))</f>
        <v>#VALUE!</v>
      </c>
      <c r="N3" t="e">
        <f>MAX(0,SUM(IF(FREQUENCY(IF((N7:N11&gt;0)*($G7:$G11&lt;&gt;""),MATCH($G7:$G11,$G7:$G11,0)),ROW($G7:$G11)-ROW($G7)+1)&gt;0,1))-1)*IF(N2="双",VLOOKUP($A$1,换码设置!$A:$C,2,FALSE),IF(N2="单",VLOOKUP($A$1,换码设置!$A:$C,3,FALSE),0))</f>
        <v>#VALUE!</v>
      </c>
      <c r="O3" t="e">
        <f>MAX(0,SUM(IF(FREQUENCY(IF((O7:O11&gt;0)*($G7:$G11&lt;&gt;""),MATCH($G7:$G11,$G7:$G11,0)),ROW($G7:$G11)-ROW($G7)+1)&gt;0,1))-1)*IF(O2="双",VLOOKUP($A$1,换码设置!$A:$C,2,FALSE),IF(O2="单",VLOOKUP($A$1,换码设置!$A:$C,3,FALSE),0))</f>
        <v>#VALUE!</v>
      </c>
      <c r="P3" t="e">
        <f>MAX(0,SUM(IF(FREQUENCY(IF((P7:P11&gt;0)*($G7:$G11&lt;&gt;""),MATCH($G7:$G11,$G7:$G11,0)),ROW($G7:$G11)-ROW($G7)+1)&gt;0,1))-1)*IF(P2="双",VLOOKUP($A$1,换码设置!$A:$C,2,FALSE),IF(P2="单",VLOOKUP($A$1,换码设置!$A:$C,3,FALSE),0))</f>
        <v>#VALUE!</v>
      </c>
      <c r="Q3" t="e">
        <f>MAX(0,SUM(IF(FREQUENCY(IF((Q7:Q11&gt;0)*($G7:$G11&lt;&gt;""),MATCH($G7:$G11,$G7:$G11,0)),ROW($G7:$G11)-ROW($G7)+1)&gt;0,1))-1)*IF(Q2="双",VLOOKUP($A$1,换码设置!$A:$C,2,FALSE),IF(Q2="单",VLOOKUP($A$1,换码设置!$A:$C,3,FALSE),0))</f>
        <v>#VALUE!</v>
      </c>
      <c r="R3" t="e">
        <f>MAX(0,SUM(IF(FREQUENCY(IF((R7:R11&gt;0)*($G7:$G11&lt;&gt;""),MATCH($G7:$G11,$G7:$G11,0)),ROW($G7:$G11)-ROW($G7)+1)&gt;0,1))-1)*IF(R2="双",VLOOKUP($A$1,换码设置!$A:$C,2,FALSE),IF(R2="单",VLOOKUP($A$1,换码设置!$A:$C,3,FALSE),0))</f>
        <v>#VALUE!</v>
      </c>
      <c r="S3" t="e">
        <f>MAX(0,SUM(IF(FREQUENCY(IF((S7:S11&gt;0)*($G7:$G11&lt;&gt;""),MATCH($G7:$G11,$G7:$G11,0)),ROW($G7:$G11)-ROW($G7)+1)&gt;0,1))-1)*IF(S2="双",VLOOKUP($A$1,换码设置!$A:$C,2,FALSE),IF(S2="单",VLOOKUP($A$1,换码设置!$A:$C,3,FALSE),0))</f>
        <v>#VALUE!</v>
      </c>
      <c r="T3" t="e">
        <f>MAX(0,SUM(IF(FREQUENCY(IF((T7:T11&gt;0)*($G7:$G11&lt;&gt;""),MATCH($G7:$G11,$G7:$G11,0)),ROW($G7:$G11)-ROW($G7)+1)&gt;0,1))-1)*IF(T2="双",VLOOKUP($A$1,换码设置!$A:$C,2,FALSE),IF(T2="单",VLOOKUP($A$1,换码设置!$A:$C,3,FALSE),0))</f>
        <v>#VALUE!</v>
      </c>
      <c r="U3" t="e">
        <f>MAX(0,SUM(IF(FREQUENCY(IF((U7:U11&gt;0)*($G7:$G11&lt;&gt;""),MATCH($G7:$G11,$G7:$G11,0)),ROW($G7:$G11)-ROW($G7)+1)&gt;0,1))-1)*IF(U2="双",VLOOKUP($A$1,换码设置!$A:$C,2,FALSE),IF(U2="单",VLOOKUP($A$1,换码设置!$A:$C,3,FALSE),0))</f>
        <v>#VALUE!</v>
      </c>
      <c r="V3" t="e">
        <f>MAX(0,SUM(IF(FREQUENCY(IF((V7:V11&gt;0)*($G7:$G11&lt;&gt;""),MATCH($G7:$G11,$G7:$G11,0)),ROW($G7:$G11)-ROW($G7)+1)&gt;0,1))-1)*IF(V2="双",VLOOKUP($A$1,换码设置!$A:$C,2,FALSE),IF(V2="单",VLOOKUP($A$1,换码设置!$A:$C,3,FALSE),0))</f>
        <v>#VALUE!</v>
      </c>
      <c r="W3" t="e">
        <f>MAX(0,SUM(IF(FREQUENCY(IF((W7:W11&gt;0)*($G7:$G11&lt;&gt;""),MATCH($G7:$G11,$G7:$G11,0)),ROW($G7:$G11)-ROW($G7)+1)&gt;0,1))-1)*IF(W2="双",VLOOKUP($A$1,换码设置!$A:$C,2,FALSE),IF(W2="单",VLOOKUP($A$1,换码设置!$A:$C,3,FALSE),0))</f>
        <v>#VALUE!</v>
      </c>
      <c r="X3" t="e">
        <f>MAX(0,SUM(IF(FREQUENCY(IF((X7:X11&gt;0)*($G7:$G11&lt;&gt;""),MATCH($G7:$G11,$G7:$G11,0)),ROW($G7:$G11)-ROW($G7)+1)&gt;0,1))-1)*IF(X2="双",VLOOKUP($A$1,换码设置!$A:$C,2,FALSE),IF(X2="单",VLOOKUP($A$1,换码设置!$A:$C,3,FALSE),0))</f>
        <v>#VALUE!</v>
      </c>
      <c r="Y3" t="e">
        <f>MAX(0,SUM(IF(FREQUENCY(IF((Y7:Y11&gt;0)*($G7:$G11&lt;&gt;""),MATCH($G7:$G11,$G7:$G11,0)),ROW($G7:$G11)-ROW($G7)+1)&gt;0,1))-1)*IF(Y2="双",VLOOKUP($A$1,换码设置!$A:$C,2,FALSE),IF(Y2="单",VLOOKUP($A$1,换码设置!$A:$C,3,FALSE),0))</f>
        <v>#VALUE!</v>
      </c>
      <c r="Z3" t="e">
        <f>MAX(0,SUM(IF(FREQUENCY(IF((Z7:Z11&gt;0)*($G7:$G11&lt;&gt;""),MATCH($G7:$G11,$G7:$G11,0)),ROW($G7:$G11)-ROW($G7)+1)&gt;0,1))-1)*IF(Z2="双",VLOOKUP($A$1,换码设置!$A:$C,2,FALSE),IF(Z2="单",VLOOKUP($A$1,换码设置!$A:$C,3,FALSE),0))</f>
        <v>#VALUE!</v>
      </c>
      <c r="AA3" t="e">
        <f>MAX(0,SUM(IF(FREQUENCY(IF((AA7:AA11&gt;0)*($G7:$G11&lt;&gt;""),MATCH($G7:$G11,$G7:$G11,0)),ROW($G7:$G11)-ROW($G7)+1)&gt;0,1))-1)*IF(AA2="双",VLOOKUP($A$1,换码设置!$A:$C,2,FALSE),IF(AA2="单",VLOOKUP($A$1,换码设置!$A:$C,3,FALSE),0))</f>
        <v>#VALUE!</v>
      </c>
      <c r="AB3" t="e">
        <f>MAX(0,SUM(IF(FREQUENCY(IF((AB7:AB11&gt;0)*($G7:$G11&lt;&gt;""),MATCH($G7:$G11,$G7:$G11,0)),ROW($G7:$G11)-ROW($G7)+1)&gt;0,1))-1)*IF(AB2="双",VLOOKUP($A$1,换码设置!$A:$C,2,FALSE),IF(AB2="单",VLOOKUP($A$1,换码设置!$A:$C,3,FALSE),0))</f>
        <v>#VALUE!</v>
      </c>
      <c r="AC3" t="e">
        <f>MAX(0,SUM(IF(FREQUENCY(IF((AC7:AC11&gt;0)*($G7:$G11&lt;&gt;""),MATCH($G7:$G11,$G7:$G11,0)),ROW($G7:$G11)-ROW($G7)+1)&gt;0,1))-1)*IF(AC2="双",VLOOKUP($A$1,换码设置!$A:$C,2,FALSE),IF(AC2="单",VLOOKUP($A$1,换码设置!$A:$C,3,FALSE),0))</f>
        <v>#VALUE!</v>
      </c>
      <c r="AD3" t="e">
        <f>MAX(0,SUM(IF(FREQUENCY(IF((AD7:AD11&gt;0)*($G7:$G11&lt;&gt;""),MATCH($G7:$G11,$G7:$G11,0)),ROW($G7:$G11)-ROW($G7)+1)&gt;0,1))-1)*IF(AD2="双",VLOOKUP($A$1,换码设置!$A:$C,2,FALSE),IF(AD2="单",VLOOKUP($A$1,换码设置!$A:$C,3,FALSE),0))</f>
        <v>#VALUE!</v>
      </c>
      <c r="AE3" t="e">
        <f>MAX(0,SUM(IF(FREQUENCY(IF((AE7:AE11&gt;0)*($G7:$G11&lt;&gt;""),MATCH($G7:$G11,$G7:$G11,0)),ROW($G7:$G11)-ROW($G7)+1)&gt;0,1))-1)*IF(AE2="双",VLOOKUP($A$1,换码设置!$A:$C,2,FALSE),IF(AE2="单",VLOOKUP($A$1,换码设置!$A:$C,3,FALSE),0))</f>
        <v>#VALUE!</v>
      </c>
      <c r="AF3" t="e">
        <f>MAX(0,SUM(IF(FREQUENCY(IF((AF7:AF11&gt;0)*($G7:$G11&lt;&gt;""),MATCH($G7:$G11,$G7:$G11,0)),ROW($G7:$G11)-ROW($G7)+1)&gt;0,1))-1)*IF(AF2="双",VLOOKUP($A$1,换码设置!$A:$C,2,FALSE),IF(AF2="单",VLOOKUP($A$1,换码设置!$A:$C,3,FALSE),0))</f>
        <v>#VALUE!</v>
      </c>
      <c r="AG3" t="e">
        <f>MAX(0,SUM(IF(FREQUENCY(IF((AG7:AG11&gt;0)*($G7:$G11&lt;&gt;""),MATCH($G7:$G11,$G7:$G11,0)),ROW($G7:$G11)-ROW($G7)+1)&gt;0,1))-1)*IF(AG2="双",VLOOKUP($A$1,换码设置!$A:$C,2,FALSE),IF(AG2="单",VLOOKUP($A$1,换码设置!$A:$C,3,FALSE),0))</f>
        <v>#VALUE!</v>
      </c>
      <c r="AH3" t="e">
        <f>MAX(0,SUM(IF(FREQUENCY(IF((AH7:AH11&gt;0)*($G7:$G11&lt;&gt;""),MATCH($G7:$G11,$G7:$G11,0)),ROW($G7:$G11)-ROW($G7)+1)&gt;0,1))-1)*IF(AH2="双",VLOOKUP($A$1,换码设置!$A:$C,2,FALSE),IF(AH2="单",VLOOKUP($A$1,换码设置!$A:$C,3,FALSE),0))</f>
        <v>#VALUE!</v>
      </c>
      <c r="AI3" t="e">
        <f>MAX(0,SUM(IF(FREQUENCY(IF((AI7:AI11&gt;0)*($G7:$G11&lt;&gt;""),MATCH($G7:$G11,$G7:$G11,0)),ROW($G7:$G11)-ROW($G7)+1)&gt;0,1))-1)*IF(AI2="双",VLOOKUP($A$1,换码设置!$A:$C,2,FALSE),IF(AI2="单",VLOOKUP($A$1,换码设置!$A:$C,3,FALSE),0))</f>
        <v>#VALUE!</v>
      </c>
      <c r="AJ3" t="e">
        <f>MAX(0,SUM(IF(FREQUENCY(IF((AJ7:AJ11&gt;0)*($G7:$G11&lt;&gt;""),MATCH($G7:$G11,$G7:$G11,0)),ROW($G7:$G11)-ROW($G7)+1)&gt;0,1))-1)*IF(AJ2="双",VLOOKUP($A$1,换码设置!$A:$C,2,FALSE),IF(AJ2="单",VLOOKUP($A$1,换码设置!$A:$C,3,FALSE),0))</f>
        <v>#VALUE!</v>
      </c>
      <c r="AK3" t="e">
        <f>MAX(0,SUM(IF(FREQUENCY(IF((AK7:AK11&gt;0)*($G7:$G11&lt;&gt;""),MATCH($G7:$G11,$G7:$G11,0)),ROW($G7:$G11)-ROW($G7)+1)&gt;0,1))-1)*IF(AK2="双",VLOOKUP($A$1,换码设置!$A:$C,2,FALSE),IF(AK2="单",VLOOKUP($A$1,换码设置!$A:$C,3,FALSE),0))</f>
        <v>#VALUE!</v>
      </c>
      <c r="AL3" t="e">
        <f>MAX(0,SUM(IF(FREQUENCY(IF((AL7:AL11&gt;0)*($G7:$G11&lt;&gt;""),MATCH($G7:$G11,$G7:$G11,0)),ROW($G7:$G11)-ROW($G7)+1)&gt;0,1))-1)*IF(AL2="双",VLOOKUP($A$1,换码设置!$A:$C,2,FALSE),IF(AL2="单",VLOOKUP($A$1,换码设置!$A:$C,3,FALSE),0))</f>
        <v>#VALUE!</v>
      </c>
      <c r="AM3" t="e">
        <f>MAX(0,SUM(IF(FREQUENCY(IF((AM7:AM11&gt;0)*($G7:$G11&lt;&gt;""),MATCH($G7:$G11,$G7:$G11,0)),ROW($G7:$G11)-ROW($G7)+1)&gt;0,1))-1)*IF(AM2="双",VLOOKUP($A$1,换码设置!$A:$C,2,FALSE),IF(AM2="单",VLOOKUP($A$1,换码设置!$A:$C,3,FALSE),0))</f>
        <v>#VALUE!</v>
      </c>
      <c r="AN3" t="e">
        <f>MAX(0,SUM(IF(FREQUENCY(IF((AN7:AN11&gt;0)*($G7:$G11&lt;&gt;""),MATCH($G7:$G11,$G7:$G11,0)),ROW($G7:$G11)-ROW($G7)+1)&gt;0,1))-1)*IF(AN2="双",VLOOKUP($A$1,换码设置!$A:$C,2,FALSE),IF(AN2="单",VLOOKUP($A$1,换码设置!$A:$C,3,FALSE),0))</f>
        <v>#VALUE!</v>
      </c>
      <c r="AO3" t="e">
        <f>MAX(0,SUM(IF(FREQUENCY(IF((AO7:AO11&gt;0)*($G7:$G11&lt;&gt;""),MATCH($G7:$G11,$G7:$G11,0)),ROW($G7:$G11)-ROW($G7)+1)&gt;0,1))-1)*IF(AO2="双",VLOOKUP($A$1,换码设置!$A:$C,2,FALSE),IF(AO2="单",VLOOKUP($A$1,换码设置!$A:$C,3,FALSE),0))</f>
        <v>#VALUE!</v>
      </c>
      <c r="AP3" t="e">
        <f>MAX(0,SUM(IF(FREQUENCY(IF((AP7:AP11&gt;0)*($G7:$G11&lt;&gt;""),MATCH($G7:$G11,$G7:$G11,0)),ROW($G7:$G11)-ROW($G7)+1)&gt;0,1))-1)*IF(AP2="双",VLOOKUP($A$1,换码设置!$A:$C,2,FALSE),IF(AP2="单",VLOOKUP($A$1,换码设置!$A:$C,3,FALSE),0))</f>
        <v>#VALUE!</v>
      </c>
      <c r="AQ3" t="e">
        <f>MAX(0,SUM(IF(FREQUENCY(IF((AQ7:AQ11&gt;0)*($G7:$G11&lt;&gt;""),MATCH($G7:$G11,$G7:$G11,0)),ROW($G7:$G11)-ROW($G7)+1)&gt;0,1))-1)*IF(AQ2="双",VLOOKUP($A$1,换码设置!$A:$C,2,FALSE),IF(AQ2="单",VLOOKUP($A$1,换码设置!$A:$C,3,FALSE),0))</f>
        <v>#VALUE!</v>
      </c>
      <c r="AR3" t="e">
        <f>MAX(0,SUM(IF(FREQUENCY(IF((AR7:AR11&gt;0)*($G7:$G11&lt;&gt;""),MATCH($G7:$G11,$G7:$G11,0)),ROW($G7:$G11)-ROW($G7)+1)&gt;0,1))-1)*IF(AR2="双",VLOOKUP($A$1,换码设置!$A:$C,2,FALSE),IF(AR2="单",VLOOKUP($A$1,换码设置!$A:$C,3,FALSE),0))</f>
        <v>#VALUE!</v>
      </c>
      <c r="AS3" t="e">
        <f>MAX(0,SUM(IF(FREQUENCY(IF((AS7:AS11&gt;0)*($G7:$G11&lt;&gt;""),MATCH($G7:$G11,$G7:$G11,0)),ROW($G7:$G11)-ROW($G7)+1)&gt;0,1))-1)*IF(AS2="双",VLOOKUP($A$1,换码设置!$A:$C,2,FALSE),IF(AS2="单",VLOOKUP($A$1,换码设置!$A:$C,3,FALSE),0))</f>
        <v>#VALUE!</v>
      </c>
      <c r="AT3" t="e">
        <f>MAX(0,SUM(IF(FREQUENCY(IF((AT7:AT11&gt;0)*($G7:$G11&lt;&gt;""),MATCH($G7:$G11,$G7:$G11,0)),ROW($G7:$G11)-ROW($G7)+1)&gt;0,1))-1)*IF(AT2="双",VLOOKUP($A$1,换码设置!$A:$C,2,FALSE),IF(AT2="单",VLOOKUP($A$1,换码设置!$A:$C,3,FALSE),0))</f>
        <v>#VALUE!</v>
      </c>
      <c r="AU3" t="e">
        <f>MAX(0,SUM(IF(FREQUENCY(IF((AU7:AU11&gt;0)*($G7:$G11&lt;&gt;""),MATCH($G7:$G11,$G7:$G11,0)),ROW($G7:$G11)-ROW($G7)+1)&gt;0,1))-1)*IF(AU2="双",VLOOKUP($A$1,换码设置!$A:$C,2,FALSE),IF(AU2="单",VLOOKUP($A$1,换码设置!$A:$C,3,FALSE),0))</f>
        <v>#VALUE!</v>
      </c>
      <c r="AV3" t="e">
        <f>MAX(0,SUM(IF(FREQUENCY(IF((AV7:AV11&gt;0)*($G7:$G11&lt;&gt;""),MATCH($G7:$G11,$G7:$G11,0)),ROW($G7:$G11)-ROW($G7)+1)&gt;0,1))-1)*IF(AV2="双",VLOOKUP($A$1,换码设置!$A:$C,2,FALSE),IF(AV2="单",VLOOKUP($A$1,换码设置!$A:$C,3,FALSE),0))</f>
        <v>#VALUE!</v>
      </c>
      <c r="AW3" t="e">
        <f>MAX(0,SUM(IF(FREQUENCY(IF((AW7:AW11&gt;0)*($G7:$G11&lt;&gt;""),MATCH($G7:$G11,$G7:$G11,0)),ROW($G7:$G11)-ROW($G7)+1)&gt;0,1))-1)*IF(AW2="双",VLOOKUP($A$1,换码设置!$A:$C,2,FALSE),IF(AW2="单",VLOOKUP($A$1,换码设置!$A:$C,3,FALSE),0))</f>
        <v>#VALUE!</v>
      </c>
      <c r="AX3" t="e">
        <f>MAX(0,SUM(IF(FREQUENCY(IF((AX7:AX11&gt;0)*($G7:$G11&lt;&gt;""),MATCH($G7:$G11,$G7:$G11,0)),ROW($G7:$G11)-ROW($G7)+1)&gt;0,1))-1)*IF(AX2="双",VLOOKUP($A$1,换码设置!$A:$C,2,FALSE),IF(AX2="单",VLOOKUP($A$1,换码设置!$A:$C,3,FALSE),0))</f>
        <v>#VALUE!</v>
      </c>
      <c r="AY3" t="e">
        <f>MAX(0,SUM(IF(FREQUENCY(IF((AY7:AY11&gt;0)*($G7:$G11&lt;&gt;""),MATCH($G7:$G11,$G7:$G11,0)),ROW($G7:$G11)-ROW($G7)+1)&gt;0,1))-1)*IF(AY2="双",VLOOKUP($A$1,换码设置!$A:$C,2,FALSE),IF(AY2="单",VLOOKUP($A$1,换码设置!$A:$C,3,FALSE),0))</f>
        <v>#VALUE!</v>
      </c>
      <c r="AZ3" t="e">
        <f>MAX(0,SUM(IF(FREQUENCY(IF((AZ7:AZ11&gt;0)*($G7:$G11&lt;&gt;""),MATCH($G7:$G11,$G7:$G11,0)),ROW($G7:$G11)-ROW($G7)+1)&gt;0,1))-1)*IF(AZ2="双",VLOOKUP($A$1,换码设置!$A:$C,2,FALSE),IF(AZ2="单",VLOOKUP($A$1,换码设置!$A:$C,3,FALSE),0))</f>
        <v>#VALUE!</v>
      </c>
      <c r="BA3" t="e">
        <f>MAX(0,SUM(IF(FREQUENCY(IF((BA7:BA11&gt;0)*($G7:$G11&lt;&gt;""),MATCH($G7:$G11,$G7:$G11,0)),ROW($G7:$G11)-ROW($G7)+1)&gt;0,1))-1)*IF(BA2="双",VLOOKUP($A$1,换码设置!$A:$C,2,FALSE),IF(BA2="单",VLOOKUP($A$1,换码设置!$A:$C,3,FALSE),0))</f>
        <v>#VALUE!</v>
      </c>
      <c r="BB3" t="e">
        <f>MAX(0,SUM(IF(FREQUENCY(IF((BB7:BB11&gt;0)*($G7:$G11&lt;&gt;""),MATCH($G7:$G11,$G7:$G11,0)),ROW($G7:$G11)-ROW($G7)+1)&gt;0,1))-1)*IF(BB2="双",VLOOKUP($A$1,换码设置!$A:$C,2,FALSE),IF(BB2="单",VLOOKUP($A$1,换码设置!$A:$C,3,FALSE),0))</f>
        <v>#VALUE!</v>
      </c>
      <c r="BC3" t="e">
        <f>MAX(0,SUM(IF(FREQUENCY(IF((BC7:BC11&gt;0)*($G7:$G11&lt;&gt;""),MATCH($G7:$G11,$G7:$G11,0)),ROW($G7:$G11)-ROW($G7)+1)&gt;0,1))-1)*IF(BC2="双",VLOOKUP($A$1,换码设置!$A:$C,2,FALSE),IF(BC2="单",VLOOKUP($A$1,换码设置!$A:$C,3,FALSE),0))</f>
        <v>#VALUE!</v>
      </c>
      <c r="BD3" t="e">
        <f>MAX(0,SUM(IF(FREQUENCY(IF((BD7:BD11&gt;0)*($G7:$G11&lt;&gt;""),MATCH($G7:$G11,$G7:$G11,0)),ROW($G7:$G11)-ROW($G7)+1)&gt;0,1))-1)*IF(BD2="双",VLOOKUP($A$1,换码设置!$A:$C,2,FALSE),IF(BD2="单",VLOOKUP($A$1,换码设置!$A:$C,3,FALSE),0))</f>
        <v>#VALUE!</v>
      </c>
      <c r="BE3" t="e">
        <f>MAX(0,SUM(IF(FREQUENCY(IF((BE7:BE11&gt;0)*($G7:$G11&lt;&gt;""),MATCH($G7:$G11,$G7:$G11,0)),ROW($G7:$G11)-ROW($G7)+1)&gt;0,1))-1)*IF(BE2="双",VLOOKUP($A$1,换码设置!$A:$C,2,FALSE),IF(BE2="单",VLOOKUP($A$1,换码设置!$A:$C,3,FALSE),0))</f>
        <v>#VALUE!</v>
      </c>
      <c r="BF3" t="e">
        <f>MAX(0,SUM(IF(FREQUENCY(IF((BF7:BF11&gt;0)*($G7:$G11&lt;&gt;""),MATCH($G7:$G11,$G7:$G11,0)),ROW($G7:$G11)-ROW($G7)+1)&gt;0,1))-1)*IF(BF2="双",VLOOKUP($A$1,换码设置!$A:$C,2,FALSE),IF(BF2="单",VLOOKUP($A$1,换码设置!$A:$C,3,FALSE),0))</f>
        <v>#VALUE!</v>
      </c>
      <c r="BG3" t="e">
        <f>MAX(0,SUM(IF(FREQUENCY(IF((BG7:BG11&gt;0)*($G7:$G11&lt;&gt;""),MATCH($G7:$G11,$G7:$G11,0)),ROW($G7:$G11)-ROW($G7)+1)&gt;0,1))-1)*IF(BG2="双",VLOOKUP($A$1,换码设置!$A:$C,2,FALSE),IF(BG2="单",VLOOKUP($A$1,换码设置!$A:$C,3,FALSE),0))</f>
        <v>#VALUE!</v>
      </c>
      <c r="BH3" t="e">
        <f>MAX(0,SUM(IF(FREQUENCY(IF((BH7:BH11&gt;0)*($G7:$G11&lt;&gt;""),MATCH($G7:$G11,$G7:$G11,0)),ROW($G7:$G11)-ROW($G7)+1)&gt;0,1))-1)*IF(BH2="双",VLOOKUP($A$1,换码设置!$A:$C,2,FALSE),IF(BH2="单",VLOOKUP($A$1,换码设置!$A:$C,3,FALSE),0))</f>
        <v>#VALUE!</v>
      </c>
      <c r="BI3" t="e">
        <f>MAX(0,SUM(IF(FREQUENCY(IF((BI7:BI11&gt;0)*($G7:$G11&lt;&gt;""),MATCH($G7:$G11,$G7:$G11,0)),ROW($G7:$G11)-ROW($G7)+1)&gt;0,1))-1)*IF(BI2="双",VLOOKUP($A$1,换码设置!$A:$C,2,FALSE),IF(BI2="单",VLOOKUP($A$1,换码设置!$A:$C,3,FALSE),0))</f>
        <v>#VALUE!</v>
      </c>
      <c r="BJ3" t="e">
        <f>MAX(0,SUM(IF(FREQUENCY(IF((BJ7:BJ11&gt;0)*($G7:$G11&lt;&gt;""),MATCH($G7:$G11,$G7:$G11,0)),ROW($G7:$G11)-ROW($G7)+1)&gt;0,1))-1)*IF(BJ2="双",VLOOKUP($A$1,换码设置!$A:$C,2,FALSE),IF(BJ2="单",VLOOKUP($A$1,换码设置!$A:$C,3,FALSE),0))</f>
        <v>#VALUE!</v>
      </c>
      <c r="BK3" t="e">
        <f>MAX(0,SUM(IF(FREQUENCY(IF((BK7:BK11&gt;0)*($G7:$G11&lt;&gt;""),MATCH($G7:$G11,$G7:$G11,0)),ROW($G7:$G11)-ROW($G7)+1)&gt;0,1))-1)*IF(BK2="双",VLOOKUP($A$1,换码设置!$A:$C,2,FALSE),IF(BK2="单",VLOOKUP($A$1,换码设置!$A:$C,3,FALSE),0))</f>
        <v>#VALUE!</v>
      </c>
      <c r="BL3" t="e">
        <f>MAX(0,SUM(IF(FREQUENCY(IF((BL7:BL11&gt;0)*($G7:$G11&lt;&gt;""),MATCH($G7:$G11,$G7:$G11,0)),ROW($G7:$G11)-ROW($G7)+1)&gt;0,1))-1)*IF(BL2="双",VLOOKUP($A$1,换码设置!$A:$C,2,FALSE),IF(BL2="单",VLOOKUP($A$1,换码设置!$A:$C,3,FALSE),0))</f>
        <v>#VALUE!</v>
      </c>
      <c r="BM3" t="e">
        <f>MAX(0,SUM(IF(FREQUENCY(IF((BM7:BM11&gt;0)*($G7:$G11&lt;&gt;""),MATCH($G7:$G11,$G7:$G11,0)),ROW($G7:$G11)-ROW($G7)+1)&gt;0,1))-1)*IF(BM2="双",VLOOKUP($A$1,换码设置!$A:$C,2,FALSE),IF(BM2="单",VLOOKUP($A$1,换码设置!$A:$C,3,FALSE),0))</f>
        <v>#VALUE!</v>
      </c>
      <c r="BN3" t="e">
        <f>MAX(0,SUM(IF(FREQUENCY(IF((BN7:BN11&gt;0)*($G7:$G11&lt;&gt;""),MATCH($G7:$G11,$G7:$G11,0)),ROW($G7:$G11)-ROW($G7)+1)&gt;0,1))-1)*IF(BN2="双",VLOOKUP($A$1,换码设置!$A:$C,2,FALSE),IF(BN2="单",VLOOKUP($A$1,换码设置!$A:$C,3,FALSE),0))</f>
        <v>#VALUE!</v>
      </c>
      <c r="BO3" t="e">
        <f>MAX(0,SUM(IF(FREQUENCY(IF((BO7:BO11&gt;0)*($G7:$G11&lt;&gt;""),MATCH($G7:$G11,$G7:$G11,0)),ROW($G7:$G11)-ROW($G7)+1)&gt;0,1))-1)*IF(BO2="双",VLOOKUP($A$1,换码设置!$A:$C,2,FALSE),IF(BO2="单",VLOOKUP($A$1,换码设置!$A:$C,3,FALSE),0))</f>
        <v>#VALUE!</v>
      </c>
      <c r="BP3" t="e">
        <f>MAX(0,SUM(IF(FREQUENCY(IF((BP7:BP11&gt;0)*($G7:$G11&lt;&gt;""),MATCH($G7:$G11,$G7:$G11,0)),ROW($G7:$G11)-ROW($G7)+1)&gt;0,1))-1)*IF(BP2="双",VLOOKUP($A$1,换码设置!$A:$C,2,FALSE),IF(BP2="单",VLOOKUP($A$1,换码设置!$A:$C,3,FALSE),0))</f>
        <v>#VALUE!</v>
      </c>
    </row>
    <row r="4" spans="1:69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  <c r="BQ4" s="8">
        <v>46204</v>
      </c>
    </row>
    <row r="5" spans="1:69" s="1" customFormat="1" ht="15.5" customHeight="1">
      <c r="F5" s="100"/>
      <c r="G5" s="100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  <c r="BQ5" s="10" t="str">
        <f ca="1">IF(BQ2="单",$J$1,IF(BQ2="双",$J$2,0))-BQ5</f>
        <v/>
      </c>
    </row>
    <row r="6" spans="1:69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</row>
    <row r="7" spans="1:69" ht="15.5" customHeight="1">
      <c r="A7" s="26" t="s">
        <v>459</v>
      </c>
      <c r="B7" s="26"/>
      <c r="C7" s="26"/>
      <c r="D7" s="19" t="s">
        <v>460</v>
      </c>
      <c r="E7" s="27" t="s">
        <v>461</v>
      </c>
      <c r="F7" s="26">
        <v>10</v>
      </c>
      <c r="G7" s="26">
        <v>20</v>
      </c>
      <c r="H7" s="23"/>
      <c r="I7" s="23"/>
      <c r="J7" s="19">
        <v>4431</v>
      </c>
      <c r="K7" s="19" t="e">
        <f>J6*F6*G6</f>
        <v>#VALUE!</v>
      </c>
      <c r="L7" s="19">
        <v>0</v>
      </c>
      <c r="M7" s="24">
        <v>1620</v>
      </c>
      <c r="N7" s="24">
        <v>1620</v>
      </c>
      <c r="O7" s="24">
        <v>1191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5.5" customHeight="1">
      <c r="A8" s="26" t="s">
        <v>462</v>
      </c>
      <c r="B8" s="26"/>
      <c r="C8" s="26"/>
      <c r="D8" s="19" t="s">
        <v>463</v>
      </c>
      <c r="E8" s="27" t="s">
        <v>464</v>
      </c>
      <c r="F8" s="26">
        <v>46</v>
      </c>
      <c r="G8" s="26">
        <v>6</v>
      </c>
      <c r="H8" s="23"/>
      <c r="I8" s="23">
        <v>46112</v>
      </c>
      <c r="J8" s="19">
        <v>950</v>
      </c>
      <c r="K8" s="19">
        <f>J7*F7*G7</f>
        <v>886200</v>
      </c>
      <c r="L8" s="19">
        <v>0</v>
      </c>
      <c r="M8" s="24"/>
      <c r="N8" s="24"/>
      <c r="O8" s="24">
        <v>311</v>
      </c>
      <c r="P8" s="24">
        <v>639</v>
      </c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</row>
    <row r="9" spans="1:69" ht="15.5" customHeight="1">
      <c r="A9" s="26" t="s">
        <v>459</v>
      </c>
      <c r="B9" s="26"/>
      <c r="C9" s="26"/>
      <c r="D9" s="19"/>
      <c r="E9" s="27" t="s">
        <v>461</v>
      </c>
      <c r="F9" s="26">
        <v>10</v>
      </c>
      <c r="G9" s="26">
        <v>20</v>
      </c>
      <c r="H9" s="23"/>
      <c r="I9" s="23"/>
      <c r="J9" s="19">
        <v>5000</v>
      </c>
      <c r="K9" s="19">
        <f>J8*F8*G8</f>
        <v>262200</v>
      </c>
      <c r="L9" s="19">
        <v>0</v>
      </c>
      <c r="M9" s="24"/>
      <c r="N9" s="24"/>
      <c r="O9" s="24"/>
      <c r="P9" s="24">
        <v>738</v>
      </c>
      <c r="Q9" s="24"/>
      <c r="R9" s="24">
        <v>1620</v>
      </c>
      <c r="S9" s="24">
        <v>1620</v>
      </c>
      <c r="T9" s="24">
        <v>1022</v>
      </c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5.5" customHeight="1">
      <c r="A10" s="26" t="s">
        <v>465</v>
      </c>
      <c r="B10" s="26"/>
      <c r="C10" s="26"/>
      <c r="D10" s="19" t="s">
        <v>466</v>
      </c>
      <c r="E10" s="27" t="s">
        <v>467</v>
      </c>
      <c r="F10" s="26">
        <v>46</v>
      </c>
      <c r="G10" s="26">
        <v>6</v>
      </c>
      <c r="H10" s="23"/>
      <c r="I10" s="23"/>
      <c r="J10" s="19">
        <v>1300</v>
      </c>
      <c r="K10" s="19">
        <f>J9*F9*G9</f>
        <v>1000000</v>
      </c>
      <c r="L10" s="19">
        <v>0</v>
      </c>
      <c r="M10" s="28"/>
      <c r="N10" s="28"/>
      <c r="O10" s="28"/>
      <c r="P10" s="28"/>
      <c r="Q10" s="28"/>
      <c r="R10" s="28"/>
      <c r="S10" s="28"/>
      <c r="T10" s="28">
        <v>433</v>
      </c>
      <c r="U10" s="28">
        <v>867</v>
      </c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7" customHeight="1">
      <c r="A11" s="26" t="s">
        <v>468</v>
      </c>
      <c r="B11" s="26"/>
      <c r="C11" s="26"/>
      <c r="D11" s="26" t="s">
        <v>469</v>
      </c>
      <c r="E11" s="27" t="s">
        <v>470</v>
      </c>
      <c r="F11" s="26">
        <v>42</v>
      </c>
      <c r="G11" s="26">
        <v>2</v>
      </c>
      <c r="H11" s="23"/>
      <c r="I11" s="23"/>
      <c r="J11" s="19">
        <v>4000</v>
      </c>
      <c r="K11" s="19">
        <f>J10*F10*G10</f>
        <v>358800</v>
      </c>
      <c r="L11" s="19">
        <v>0</v>
      </c>
      <c r="M11" s="24"/>
      <c r="N11" s="24"/>
      <c r="O11" s="24"/>
      <c r="P11" s="24"/>
      <c r="Q11" s="24"/>
      <c r="R11" s="24"/>
      <c r="S11" s="24"/>
      <c r="T11" s="24"/>
      <c r="U11" s="24">
        <v>1008</v>
      </c>
      <c r="V11" s="24">
        <v>2992</v>
      </c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</row>
  </sheetData>
  <mergeCells count="3">
    <mergeCell ref="A1:H4"/>
    <mergeCell ref="I3:J4"/>
    <mergeCell ref="F5:G5"/>
  </mergeCells>
  <phoneticPr fontId="19" type="noConversion"/>
  <conditionalFormatting sqref="D6">
    <cfRule type="cellIs" dxfId="45" priority="4" stopIfTrue="1" operator="equal">
      <formula>"C-B&gt;30"</formula>
    </cfRule>
    <cfRule type="cellIs" dxfId="44" priority="3" stopIfTrue="1" operator="equal">
      <formula>"C-B&gt;10"</formula>
    </cfRule>
  </conditionalFormatting>
  <conditionalFormatting sqref="D7">
    <cfRule type="cellIs" dxfId="43" priority="2" stopIfTrue="1" operator="equal">
      <formula>"C-B&gt;30"</formula>
    </cfRule>
    <cfRule type="cellIs" dxfId="42" priority="1" stopIfTrue="1" operator="equal">
      <formula>"C-B&gt;10"</formula>
    </cfRule>
  </conditionalFormatting>
  <conditionalFormatting sqref="D8">
    <cfRule type="cellIs" dxfId="41" priority="7" stopIfTrue="1" operator="equal">
      <formula>"C-B&gt;10"</formula>
    </cfRule>
    <cfRule type="cellIs" dxfId="40" priority="8" stopIfTrue="1" operator="equal">
      <formula>"C-B&gt;30"</formula>
    </cfRule>
  </conditionalFormatting>
  <conditionalFormatting sqref="D9">
    <cfRule type="cellIs" dxfId="39" priority="9" stopIfTrue="1" operator="equal">
      <formula>"C-B&gt;10"</formula>
    </cfRule>
    <cfRule type="cellIs" dxfId="38" priority="10" stopIfTrue="1" operator="equal">
      <formula>"C-B&gt;30"</formula>
    </cfRule>
  </conditionalFormatting>
  <conditionalFormatting sqref="D10">
    <cfRule type="cellIs" dxfId="37" priority="33" stopIfTrue="1" operator="equal">
      <formula>"C-B&gt;10"</formula>
    </cfRule>
    <cfRule type="cellIs" dxfId="36" priority="34" stopIfTrue="1" operator="equal">
      <formula>"C-B&gt;30"</formula>
    </cfRule>
  </conditionalFormatting>
  <dataValidations count="1">
    <dataValidation type="list" allowBlank="1" showInputMessage="1" showErrorMessage="1" sqref="M2:BQ2" xr:uid="{00000000-0002-0000-0C00-000000000000}">
      <formula1>"单,双"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P11"/>
  <sheetViews>
    <sheetView showGridLines="0" zoomScale="85" zoomScaleNormal="85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13.83203125" style="91" customWidth="1"/>
    <col min="3" max="3" width="8" style="91" customWidth="1"/>
    <col min="4" max="4" width="19.5" style="91" customWidth="1"/>
    <col min="5" max="5" width="44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.33203125" style="91" customWidth="1"/>
    <col min="13" max="68" width="9" style="91" customWidth="1"/>
  </cols>
  <sheetData>
    <row r="1" spans="1:68" s="1" customFormat="1" ht="16.25" customHeight="1">
      <c r="A1" s="99" t="s">
        <v>134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178200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324000</v>
      </c>
      <c r="K2" s="5" t="s">
        <v>137</v>
      </c>
      <c r="L2" s="7" t="e">
        <f>SUM(#REF!)</f>
        <v>#REF!</v>
      </c>
      <c r="M2" s="8" t="s">
        <v>197</v>
      </c>
      <c r="N2" s="8" t="s">
        <v>197</v>
      </c>
      <c r="O2" s="8" t="s">
        <v>197</v>
      </c>
      <c r="P2" s="8" t="s">
        <v>197</v>
      </c>
      <c r="Q2" s="8" t="s">
        <v>197</v>
      </c>
      <c r="R2" s="8" t="s">
        <v>197</v>
      </c>
      <c r="S2" s="8" t="s">
        <v>197</v>
      </c>
      <c r="T2" s="8" t="s">
        <v>197</v>
      </c>
      <c r="U2" s="8" t="s">
        <v>197</v>
      </c>
      <c r="V2" s="8" t="s">
        <v>197</v>
      </c>
      <c r="W2" s="8" t="s">
        <v>197</v>
      </c>
      <c r="X2" s="8" t="s">
        <v>197</v>
      </c>
      <c r="Y2" s="8" t="s">
        <v>197</v>
      </c>
      <c r="Z2" s="8" t="s">
        <v>197</v>
      </c>
      <c r="AA2" s="8" t="s">
        <v>197</v>
      </c>
      <c r="AB2" s="8" t="s">
        <v>197</v>
      </c>
      <c r="AC2" s="8" t="s">
        <v>197</v>
      </c>
      <c r="AD2" s="8" t="s">
        <v>197</v>
      </c>
      <c r="AE2" s="8" t="s">
        <v>197</v>
      </c>
      <c r="AF2" s="8" t="s">
        <v>197</v>
      </c>
      <c r="AG2" s="8" t="s">
        <v>197</v>
      </c>
      <c r="AH2" s="8" t="s">
        <v>197</v>
      </c>
      <c r="AI2" s="8" t="s">
        <v>197</v>
      </c>
      <c r="AJ2" s="8" t="s">
        <v>197</v>
      </c>
      <c r="AK2" s="8" t="s">
        <v>197</v>
      </c>
      <c r="AL2" s="8" t="s">
        <v>197</v>
      </c>
      <c r="AM2" s="8" t="s">
        <v>197</v>
      </c>
      <c r="AN2" s="8" t="s">
        <v>197</v>
      </c>
      <c r="AO2" s="8" t="s">
        <v>197</v>
      </c>
      <c r="AP2" s="8" t="s">
        <v>197</v>
      </c>
      <c r="AQ2" s="8" t="s">
        <v>197</v>
      </c>
      <c r="AR2" s="8" t="s">
        <v>197</v>
      </c>
      <c r="AS2" s="8" t="s">
        <v>197</v>
      </c>
      <c r="AT2" s="8" t="s">
        <v>197</v>
      </c>
      <c r="AU2" s="8" t="s">
        <v>197</v>
      </c>
      <c r="AV2" s="8" t="s">
        <v>197</v>
      </c>
      <c r="AW2" s="8" t="s">
        <v>197</v>
      </c>
      <c r="AX2" s="8" t="s">
        <v>197</v>
      </c>
      <c r="AY2" s="8" t="s">
        <v>197</v>
      </c>
      <c r="AZ2" s="8" t="s">
        <v>197</v>
      </c>
      <c r="BA2" s="8" t="s">
        <v>197</v>
      </c>
      <c r="BB2" s="8" t="s">
        <v>197</v>
      </c>
      <c r="BC2" s="8" t="s">
        <v>197</v>
      </c>
      <c r="BD2" s="8" t="s">
        <v>197</v>
      </c>
      <c r="BE2" s="8" t="s">
        <v>197</v>
      </c>
      <c r="BF2" s="8" t="s">
        <v>197</v>
      </c>
      <c r="BG2" s="8" t="s">
        <v>197</v>
      </c>
      <c r="BH2" s="8" t="s">
        <v>197</v>
      </c>
      <c r="BI2" s="8" t="s">
        <v>197</v>
      </c>
      <c r="BJ2" s="8" t="s">
        <v>197</v>
      </c>
      <c r="BK2" s="8" t="s">
        <v>197</v>
      </c>
      <c r="BL2" s="8" t="s">
        <v>197</v>
      </c>
      <c r="BM2" s="8" t="s">
        <v>197</v>
      </c>
      <c r="BN2" s="8" t="s">
        <v>197</v>
      </c>
      <c r="BO2" s="8" t="s">
        <v>197</v>
      </c>
      <c r="BP2" s="8" t="s">
        <v>197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MAX(0,SUM(IF(FREQUENCY(IF((M7:M11&gt;0)*($G7:$G11&lt;&gt;""),MATCH($G7:$G11,$G7:$G11,0)),ROW($G7:$G11)-ROW($G7)+1)&gt;0,1))-1)*IF(M2="双",VLOOKUP($A$1,换码设置!$A:$C,2,FALSE),IF(M2="单",VLOOKUP($A$1,换码设置!$A:$C,3,FALSE),0))</f>
        <v>#VALUE!</v>
      </c>
      <c r="N3" t="e">
        <f>MAX(0,SUM(IF(FREQUENCY(IF((N7:N11&gt;0)*($G7:$G11&lt;&gt;""),MATCH($G7:$G11,$G7:$G11,0)),ROW($G7:$G11)-ROW($G7)+1)&gt;0,1))-1)*IF(N2="双",VLOOKUP($A$1,换码设置!$A:$C,2,FALSE),IF(N2="单",VLOOKUP($A$1,换码设置!$A:$C,3,FALSE),0))</f>
        <v>#VALUE!</v>
      </c>
      <c r="O3" t="e">
        <f>MAX(0,SUM(IF(FREQUENCY(IF((O7:O11&gt;0)*($G7:$G11&lt;&gt;""),MATCH($G7:$G11,$G7:$G11,0)),ROW($G7:$G11)-ROW($G7)+1)&gt;0,1))-1)*IF(O2="双",VLOOKUP($A$1,换码设置!$A:$C,2,FALSE),IF(O2="单",VLOOKUP($A$1,换码设置!$A:$C,3,FALSE),0))</f>
        <v>#VALUE!</v>
      </c>
      <c r="P3" t="e">
        <f>MAX(0,SUM(IF(FREQUENCY(IF((P7:P11&gt;0)*($G7:$G11&lt;&gt;""),MATCH($G7:$G11,$G7:$G11,0)),ROW($G7:$G11)-ROW($G7)+1)&gt;0,1))-1)*IF(P2="双",VLOOKUP($A$1,换码设置!$A:$C,2,FALSE),IF(P2="单",VLOOKUP($A$1,换码设置!$A:$C,3,FALSE),0))</f>
        <v>#VALUE!</v>
      </c>
      <c r="Q3" t="e">
        <f>MAX(0,SUM(IF(FREQUENCY(IF((Q7:Q11&gt;0)*($G7:$G11&lt;&gt;""),MATCH($G7:$G11,$G7:$G11,0)),ROW($G7:$G11)-ROW($G7)+1)&gt;0,1))-1)*IF(Q2="双",VLOOKUP($A$1,换码设置!$A:$C,2,FALSE),IF(Q2="单",VLOOKUP($A$1,换码设置!$A:$C,3,FALSE),0))</f>
        <v>#VALUE!</v>
      </c>
      <c r="R3" t="e">
        <f>MAX(0,SUM(IF(FREQUENCY(IF((R7:R11&gt;0)*($G7:$G11&lt;&gt;""),MATCH($G7:$G11,$G7:$G11,0)),ROW($G7:$G11)-ROW($G7)+1)&gt;0,1))-1)*IF(R2="双",VLOOKUP($A$1,换码设置!$A:$C,2,FALSE),IF(R2="单",VLOOKUP($A$1,换码设置!$A:$C,3,FALSE),0))</f>
        <v>#VALUE!</v>
      </c>
      <c r="S3" t="e">
        <f>MAX(0,SUM(IF(FREQUENCY(IF((S7:S11&gt;0)*($G7:$G11&lt;&gt;""),MATCH($G7:$G11,$G7:$G11,0)),ROW($G7:$G11)-ROW($G7)+1)&gt;0,1))-1)*IF(S2="双",VLOOKUP($A$1,换码设置!$A:$C,2,FALSE),IF(S2="单",VLOOKUP($A$1,换码设置!$A:$C,3,FALSE),0))</f>
        <v>#VALUE!</v>
      </c>
      <c r="T3" t="e">
        <f>MAX(0,SUM(IF(FREQUENCY(IF((T7:T11&gt;0)*($G7:$G11&lt;&gt;""),MATCH($G7:$G11,$G7:$G11,0)),ROW($G7:$G11)-ROW($G7)+1)&gt;0,1))-1)*IF(T2="双",VLOOKUP($A$1,换码设置!$A:$C,2,FALSE),IF(T2="单",VLOOKUP($A$1,换码设置!$A:$C,3,FALSE),0))</f>
        <v>#VALUE!</v>
      </c>
      <c r="U3" t="e">
        <f>MAX(0,SUM(IF(FREQUENCY(IF((U7:U11&gt;0)*($G7:$G11&lt;&gt;""),MATCH($G7:$G11,$G7:$G11,0)),ROW($G7:$G11)-ROW($G7)+1)&gt;0,1))-1)*IF(U2="双",VLOOKUP($A$1,换码设置!$A:$C,2,FALSE),IF(U2="单",VLOOKUP($A$1,换码设置!$A:$C,3,FALSE),0))</f>
        <v>#VALUE!</v>
      </c>
      <c r="V3" t="e">
        <f>MAX(0,SUM(IF(FREQUENCY(IF((V7:V11&gt;0)*($G7:$G11&lt;&gt;""),MATCH($G7:$G11,$G7:$G11,0)),ROW($G7:$G11)-ROW($G7)+1)&gt;0,1))-1)*IF(V2="双",VLOOKUP($A$1,换码设置!$A:$C,2,FALSE),IF(V2="单",VLOOKUP($A$1,换码设置!$A:$C,3,FALSE),0))</f>
        <v>#VALUE!</v>
      </c>
      <c r="W3" t="e">
        <f>MAX(0,SUM(IF(FREQUENCY(IF((W7:W11&gt;0)*($G7:$G11&lt;&gt;""),MATCH($G7:$G11,$G7:$G11,0)),ROW($G7:$G11)-ROW($G7)+1)&gt;0,1))-1)*IF(W2="双",VLOOKUP($A$1,换码设置!$A:$C,2,FALSE),IF(W2="单",VLOOKUP($A$1,换码设置!$A:$C,3,FALSE),0))</f>
        <v>#VALUE!</v>
      </c>
      <c r="X3" t="e">
        <f>MAX(0,SUM(IF(FREQUENCY(IF((X7:X11&gt;0)*($G7:$G11&lt;&gt;""),MATCH($G7:$G11,$G7:$G11,0)),ROW($G7:$G11)-ROW($G7)+1)&gt;0,1))-1)*IF(X2="双",VLOOKUP($A$1,换码设置!$A:$C,2,FALSE),IF(X2="单",VLOOKUP($A$1,换码设置!$A:$C,3,FALSE),0))</f>
        <v>#VALUE!</v>
      </c>
      <c r="Y3" t="e">
        <f>MAX(0,SUM(IF(FREQUENCY(IF((Y7:Y11&gt;0)*($G7:$G11&lt;&gt;""),MATCH($G7:$G11,$G7:$G11,0)),ROW($G7:$G11)-ROW($G7)+1)&gt;0,1))-1)*IF(Y2="双",VLOOKUP($A$1,换码设置!$A:$C,2,FALSE),IF(Y2="单",VLOOKUP($A$1,换码设置!$A:$C,3,FALSE),0))</f>
        <v>#VALUE!</v>
      </c>
      <c r="Z3" t="e">
        <f>MAX(0,SUM(IF(FREQUENCY(IF((Z7:Z11&gt;0)*($G7:$G11&lt;&gt;""),MATCH($G7:$G11,$G7:$G11,0)),ROW($G7:$G11)-ROW($G7)+1)&gt;0,1))-1)*IF(Z2="双",VLOOKUP($A$1,换码设置!$A:$C,2,FALSE),IF(Z2="单",VLOOKUP($A$1,换码设置!$A:$C,3,FALSE),0))</f>
        <v>#VALUE!</v>
      </c>
      <c r="AA3" t="e">
        <f>MAX(0,SUM(IF(FREQUENCY(IF((AA7:AA11&gt;0)*($G7:$G11&lt;&gt;""),MATCH($G7:$G11,$G7:$G11,0)),ROW($G7:$G11)-ROW($G7)+1)&gt;0,1))-1)*IF(AA2="双",VLOOKUP($A$1,换码设置!$A:$C,2,FALSE),IF(AA2="单",VLOOKUP($A$1,换码设置!$A:$C,3,FALSE),0))</f>
        <v>#VALUE!</v>
      </c>
      <c r="AB3" t="e">
        <f>MAX(0,SUM(IF(FREQUENCY(IF((AB7:AB11&gt;0)*($G7:$G11&lt;&gt;""),MATCH($G7:$G11,$G7:$G11,0)),ROW($G7:$G11)-ROW($G7)+1)&gt;0,1))-1)*IF(AB2="双",VLOOKUP($A$1,换码设置!$A:$C,2,FALSE),IF(AB2="单",VLOOKUP($A$1,换码设置!$A:$C,3,FALSE),0))</f>
        <v>#VALUE!</v>
      </c>
      <c r="AC3" t="e">
        <f>MAX(0,SUM(IF(FREQUENCY(IF((AC7:AC11&gt;0)*($G7:$G11&lt;&gt;""),MATCH($G7:$G11,$G7:$G11,0)),ROW($G7:$G11)-ROW($G7)+1)&gt;0,1))-1)*IF(AC2="双",VLOOKUP($A$1,换码设置!$A:$C,2,FALSE),IF(AC2="单",VLOOKUP($A$1,换码设置!$A:$C,3,FALSE),0))</f>
        <v>#VALUE!</v>
      </c>
      <c r="AD3" t="e">
        <f>MAX(0,SUM(IF(FREQUENCY(IF((AD7:AD11&gt;0)*($G7:$G11&lt;&gt;""),MATCH($G7:$G11,$G7:$G11,0)),ROW($G7:$G11)-ROW($G7)+1)&gt;0,1))-1)*IF(AD2="双",VLOOKUP($A$1,换码设置!$A:$C,2,FALSE),IF(AD2="单",VLOOKUP($A$1,换码设置!$A:$C,3,FALSE),0))</f>
        <v>#VALUE!</v>
      </c>
      <c r="AE3" t="e">
        <f>MAX(0,SUM(IF(FREQUENCY(IF((AE7:AE11&gt;0)*($G7:$G11&lt;&gt;""),MATCH($G7:$G11,$G7:$G11,0)),ROW($G7:$G11)-ROW($G7)+1)&gt;0,1))-1)*IF(AE2="双",VLOOKUP($A$1,换码设置!$A:$C,2,FALSE),IF(AE2="单",VLOOKUP($A$1,换码设置!$A:$C,3,FALSE),0))</f>
        <v>#VALUE!</v>
      </c>
      <c r="AF3" t="e">
        <f>MAX(0,SUM(IF(FREQUENCY(IF((AF7:AF11&gt;0)*($G7:$G11&lt;&gt;""),MATCH($G7:$G11,$G7:$G11,0)),ROW($G7:$G11)-ROW($G7)+1)&gt;0,1))-1)*IF(AF2="双",VLOOKUP($A$1,换码设置!$A:$C,2,FALSE),IF(AF2="单",VLOOKUP($A$1,换码设置!$A:$C,3,FALSE),0))</f>
        <v>#VALUE!</v>
      </c>
      <c r="AG3" t="e">
        <f>MAX(0,SUM(IF(FREQUENCY(IF((AG7:AG11&gt;0)*($G7:$G11&lt;&gt;""),MATCH($G7:$G11,$G7:$G11,0)),ROW($G7:$G11)-ROW($G7)+1)&gt;0,1))-1)*IF(AG2="双",VLOOKUP($A$1,换码设置!$A:$C,2,FALSE),IF(AG2="单",VLOOKUP($A$1,换码设置!$A:$C,3,FALSE),0))</f>
        <v>#VALUE!</v>
      </c>
      <c r="AH3" t="e">
        <f>MAX(0,SUM(IF(FREQUENCY(IF((AH7:AH11&gt;0)*($G7:$G11&lt;&gt;""),MATCH($G7:$G11,$G7:$G11,0)),ROW($G7:$G11)-ROW($G7)+1)&gt;0,1))-1)*IF(AH2="双",VLOOKUP($A$1,换码设置!$A:$C,2,FALSE),IF(AH2="单",VLOOKUP($A$1,换码设置!$A:$C,3,FALSE),0))</f>
        <v>#VALUE!</v>
      </c>
      <c r="AI3" t="e">
        <f>MAX(0,SUM(IF(FREQUENCY(IF((AI7:AI11&gt;0)*($G7:$G11&lt;&gt;""),MATCH($G7:$G11,$G7:$G11,0)),ROW($G7:$G11)-ROW($G7)+1)&gt;0,1))-1)*IF(AI2="双",VLOOKUP($A$1,换码设置!$A:$C,2,FALSE),IF(AI2="单",VLOOKUP($A$1,换码设置!$A:$C,3,FALSE),0))</f>
        <v>#VALUE!</v>
      </c>
      <c r="AJ3" t="e">
        <f>MAX(0,SUM(IF(FREQUENCY(IF((AJ7:AJ11&gt;0)*($G7:$G11&lt;&gt;""),MATCH($G7:$G11,$G7:$G11,0)),ROW($G7:$G11)-ROW($G7)+1)&gt;0,1))-1)*IF(AJ2="双",VLOOKUP($A$1,换码设置!$A:$C,2,FALSE),IF(AJ2="单",VLOOKUP($A$1,换码设置!$A:$C,3,FALSE),0))</f>
        <v>#VALUE!</v>
      </c>
      <c r="AK3" t="e">
        <f>MAX(0,SUM(IF(FREQUENCY(IF((AK7:AK11&gt;0)*($G7:$G11&lt;&gt;""),MATCH($G7:$G11,$G7:$G11,0)),ROW($G7:$G11)-ROW($G7)+1)&gt;0,1))-1)*IF(AK2="双",VLOOKUP($A$1,换码设置!$A:$C,2,FALSE),IF(AK2="单",VLOOKUP($A$1,换码设置!$A:$C,3,FALSE),0))</f>
        <v>#VALUE!</v>
      </c>
      <c r="AL3" t="e">
        <f>MAX(0,SUM(IF(FREQUENCY(IF((AL7:AL11&gt;0)*($G7:$G11&lt;&gt;""),MATCH($G7:$G11,$G7:$G11,0)),ROW($G7:$G11)-ROW($G7)+1)&gt;0,1))-1)*IF(AL2="双",VLOOKUP($A$1,换码设置!$A:$C,2,FALSE),IF(AL2="单",VLOOKUP($A$1,换码设置!$A:$C,3,FALSE),0))</f>
        <v>#VALUE!</v>
      </c>
      <c r="AM3" t="e">
        <f>MAX(0,SUM(IF(FREQUENCY(IF((AM7:AM11&gt;0)*($G7:$G11&lt;&gt;""),MATCH($G7:$G11,$G7:$G11,0)),ROW($G7:$G11)-ROW($G7)+1)&gt;0,1))-1)*IF(AM2="双",VLOOKUP($A$1,换码设置!$A:$C,2,FALSE),IF(AM2="单",VLOOKUP($A$1,换码设置!$A:$C,3,FALSE),0))</f>
        <v>#VALUE!</v>
      </c>
      <c r="AN3" t="e">
        <f>MAX(0,SUM(IF(FREQUENCY(IF((AN7:AN11&gt;0)*($G7:$G11&lt;&gt;""),MATCH($G7:$G11,$G7:$G11,0)),ROW($G7:$G11)-ROW($G7)+1)&gt;0,1))-1)*IF(AN2="双",VLOOKUP($A$1,换码设置!$A:$C,2,FALSE),IF(AN2="单",VLOOKUP($A$1,换码设置!$A:$C,3,FALSE),0))</f>
        <v>#VALUE!</v>
      </c>
      <c r="AO3" t="e">
        <f>MAX(0,SUM(IF(FREQUENCY(IF((AO7:AO11&gt;0)*($G7:$G11&lt;&gt;""),MATCH($G7:$G11,$G7:$G11,0)),ROW($G7:$G11)-ROW($G7)+1)&gt;0,1))-1)*IF(AO2="双",VLOOKUP($A$1,换码设置!$A:$C,2,FALSE),IF(AO2="单",VLOOKUP($A$1,换码设置!$A:$C,3,FALSE),0))</f>
        <v>#VALUE!</v>
      </c>
      <c r="AP3" t="e">
        <f>MAX(0,SUM(IF(FREQUENCY(IF((AP7:AP11&gt;0)*($G7:$G11&lt;&gt;""),MATCH($G7:$G11,$G7:$G11,0)),ROW($G7:$G11)-ROW($G7)+1)&gt;0,1))-1)*IF(AP2="双",VLOOKUP($A$1,换码设置!$A:$C,2,FALSE),IF(AP2="单",VLOOKUP($A$1,换码设置!$A:$C,3,FALSE),0))</f>
        <v>#VALUE!</v>
      </c>
      <c r="AQ3" t="e">
        <f>MAX(0,SUM(IF(FREQUENCY(IF((AQ7:AQ11&gt;0)*($G7:$G11&lt;&gt;""),MATCH($G7:$G11,$G7:$G11,0)),ROW($G7:$G11)-ROW($G7)+1)&gt;0,1))-1)*IF(AQ2="双",VLOOKUP($A$1,换码设置!$A:$C,2,FALSE),IF(AQ2="单",VLOOKUP($A$1,换码设置!$A:$C,3,FALSE),0))</f>
        <v>#VALUE!</v>
      </c>
      <c r="AR3" t="e">
        <f>MAX(0,SUM(IF(FREQUENCY(IF((AR7:AR11&gt;0)*($G7:$G11&lt;&gt;""),MATCH($G7:$G11,$G7:$G11,0)),ROW($G7:$G11)-ROW($G7)+1)&gt;0,1))-1)*IF(AR2="双",VLOOKUP($A$1,换码设置!$A:$C,2,FALSE),IF(AR2="单",VLOOKUP($A$1,换码设置!$A:$C,3,FALSE),0))</f>
        <v>#VALUE!</v>
      </c>
      <c r="AS3" t="e">
        <f>MAX(0,SUM(IF(FREQUENCY(IF((AS7:AS11&gt;0)*($G7:$G11&lt;&gt;""),MATCH($G7:$G11,$G7:$G11,0)),ROW($G7:$G11)-ROW($G7)+1)&gt;0,1))-1)*IF(AS2="双",VLOOKUP($A$1,换码设置!$A:$C,2,FALSE),IF(AS2="单",VLOOKUP($A$1,换码设置!$A:$C,3,FALSE),0))</f>
        <v>#VALUE!</v>
      </c>
      <c r="AT3" t="e">
        <f>MAX(0,SUM(IF(FREQUENCY(IF((AT7:AT11&gt;0)*($G7:$G11&lt;&gt;""),MATCH($G7:$G11,$G7:$G11,0)),ROW($G7:$G11)-ROW($G7)+1)&gt;0,1))-1)*IF(AT2="双",VLOOKUP($A$1,换码设置!$A:$C,2,FALSE),IF(AT2="单",VLOOKUP($A$1,换码设置!$A:$C,3,FALSE),0))</f>
        <v>#VALUE!</v>
      </c>
      <c r="AU3" t="e">
        <f>MAX(0,SUM(IF(FREQUENCY(IF((AU7:AU11&gt;0)*($G7:$G11&lt;&gt;""),MATCH($G7:$G11,$G7:$G11,0)),ROW($G7:$G11)-ROW($G7)+1)&gt;0,1))-1)*IF(AU2="双",VLOOKUP($A$1,换码设置!$A:$C,2,FALSE),IF(AU2="单",VLOOKUP($A$1,换码设置!$A:$C,3,FALSE),0))</f>
        <v>#VALUE!</v>
      </c>
      <c r="AV3" t="e">
        <f>MAX(0,SUM(IF(FREQUENCY(IF((AV7:AV11&gt;0)*($G7:$G11&lt;&gt;""),MATCH($G7:$G11,$G7:$G11,0)),ROW($G7:$G11)-ROW($G7)+1)&gt;0,1))-1)*IF(AV2="双",VLOOKUP($A$1,换码设置!$A:$C,2,FALSE),IF(AV2="单",VLOOKUP($A$1,换码设置!$A:$C,3,FALSE),0))</f>
        <v>#VALUE!</v>
      </c>
      <c r="AW3" t="e">
        <f>MAX(0,SUM(IF(FREQUENCY(IF((AW7:AW11&gt;0)*($G7:$G11&lt;&gt;""),MATCH($G7:$G11,$G7:$G11,0)),ROW($G7:$G11)-ROW($G7)+1)&gt;0,1))-1)*IF(AW2="双",VLOOKUP($A$1,换码设置!$A:$C,2,FALSE),IF(AW2="单",VLOOKUP($A$1,换码设置!$A:$C,3,FALSE),0))</f>
        <v>#VALUE!</v>
      </c>
      <c r="AX3" t="e">
        <f>MAX(0,SUM(IF(FREQUENCY(IF((AX7:AX11&gt;0)*($G7:$G11&lt;&gt;""),MATCH($G7:$G11,$G7:$G11,0)),ROW($G7:$G11)-ROW($G7)+1)&gt;0,1))-1)*IF(AX2="双",VLOOKUP($A$1,换码设置!$A:$C,2,FALSE),IF(AX2="单",VLOOKUP($A$1,换码设置!$A:$C,3,FALSE),0))</f>
        <v>#VALUE!</v>
      </c>
      <c r="AY3" t="e">
        <f>MAX(0,SUM(IF(FREQUENCY(IF((AY7:AY11&gt;0)*($G7:$G11&lt;&gt;""),MATCH($G7:$G11,$G7:$G11,0)),ROW($G7:$G11)-ROW($G7)+1)&gt;0,1))-1)*IF(AY2="双",VLOOKUP($A$1,换码设置!$A:$C,2,FALSE),IF(AY2="单",VLOOKUP($A$1,换码设置!$A:$C,3,FALSE),0))</f>
        <v>#VALUE!</v>
      </c>
      <c r="AZ3" t="e">
        <f>MAX(0,SUM(IF(FREQUENCY(IF((AZ7:AZ11&gt;0)*($G7:$G11&lt;&gt;""),MATCH($G7:$G11,$G7:$G11,0)),ROW($G7:$G11)-ROW($G7)+1)&gt;0,1))-1)*IF(AZ2="双",VLOOKUP($A$1,换码设置!$A:$C,2,FALSE),IF(AZ2="单",VLOOKUP($A$1,换码设置!$A:$C,3,FALSE),0))</f>
        <v>#VALUE!</v>
      </c>
      <c r="BA3" t="e">
        <f>MAX(0,SUM(IF(FREQUENCY(IF((BA7:BA11&gt;0)*($G7:$G11&lt;&gt;""),MATCH($G7:$G11,$G7:$G11,0)),ROW($G7:$G11)-ROW($G7)+1)&gt;0,1))-1)*IF(BA2="双",VLOOKUP($A$1,换码设置!$A:$C,2,FALSE),IF(BA2="单",VLOOKUP($A$1,换码设置!$A:$C,3,FALSE),0))</f>
        <v>#VALUE!</v>
      </c>
      <c r="BB3" t="e">
        <f>MAX(0,SUM(IF(FREQUENCY(IF((BB7:BB11&gt;0)*($G7:$G11&lt;&gt;""),MATCH($G7:$G11,$G7:$G11,0)),ROW($G7:$G11)-ROW($G7)+1)&gt;0,1))-1)*IF(BB2="双",VLOOKUP($A$1,换码设置!$A:$C,2,FALSE),IF(BB2="单",VLOOKUP($A$1,换码设置!$A:$C,3,FALSE),0))</f>
        <v>#VALUE!</v>
      </c>
      <c r="BC3" t="e">
        <f>MAX(0,SUM(IF(FREQUENCY(IF((BC7:BC11&gt;0)*($G7:$G11&lt;&gt;""),MATCH($G7:$G11,$G7:$G11,0)),ROW($G7:$G11)-ROW($G7)+1)&gt;0,1))-1)*IF(BC2="双",VLOOKUP($A$1,换码设置!$A:$C,2,FALSE),IF(BC2="单",VLOOKUP($A$1,换码设置!$A:$C,3,FALSE),0))</f>
        <v>#VALUE!</v>
      </c>
      <c r="BD3" t="e">
        <f>MAX(0,SUM(IF(FREQUENCY(IF((BD7:BD11&gt;0)*($G7:$G11&lt;&gt;""),MATCH($G7:$G11,$G7:$G11,0)),ROW($G7:$G11)-ROW($G7)+1)&gt;0,1))-1)*IF(BD2="双",VLOOKUP($A$1,换码设置!$A:$C,2,FALSE),IF(BD2="单",VLOOKUP($A$1,换码设置!$A:$C,3,FALSE),0))</f>
        <v>#VALUE!</v>
      </c>
      <c r="BE3" t="e">
        <f>MAX(0,SUM(IF(FREQUENCY(IF((BE7:BE11&gt;0)*($G7:$G11&lt;&gt;""),MATCH($G7:$G11,$G7:$G11,0)),ROW($G7:$G11)-ROW($G7)+1)&gt;0,1))-1)*IF(BE2="双",VLOOKUP($A$1,换码设置!$A:$C,2,FALSE),IF(BE2="单",VLOOKUP($A$1,换码设置!$A:$C,3,FALSE),0))</f>
        <v>#VALUE!</v>
      </c>
      <c r="BF3" t="e">
        <f>MAX(0,SUM(IF(FREQUENCY(IF((BF7:BF11&gt;0)*($G7:$G11&lt;&gt;""),MATCH($G7:$G11,$G7:$G11,0)),ROW($G7:$G11)-ROW($G7)+1)&gt;0,1))-1)*IF(BF2="双",VLOOKUP($A$1,换码设置!$A:$C,2,FALSE),IF(BF2="单",VLOOKUP($A$1,换码设置!$A:$C,3,FALSE),0))</f>
        <v>#VALUE!</v>
      </c>
      <c r="BG3" t="e">
        <f>MAX(0,SUM(IF(FREQUENCY(IF((BG7:BG11&gt;0)*($G7:$G11&lt;&gt;""),MATCH($G7:$G11,$G7:$G11,0)),ROW($G7:$G11)-ROW($G7)+1)&gt;0,1))-1)*IF(BG2="双",VLOOKUP($A$1,换码设置!$A:$C,2,FALSE),IF(BG2="单",VLOOKUP($A$1,换码设置!$A:$C,3,FALSE),0))</f>
        <v>#VALUE!</v>
      </c>
      <c r="BH3" t="e">
        <f>MAX(0,SUM(IF(FREQUENCY(IF((BH7:BH11&gt;0)*($G7:$G11&lt;&gt;""),MATCH($G7:$G11,$G7:$G11,0)),ROW($G7:$G11)-ROW($G7)+1)&gt;0,1))-1)*IF(BH2="双",VLOOKUP($A$1,换码设置!$A:$C,2,FALSE),IF(BH2="单",VLOOKUP($A$1,换码设置!$A:$C,3,FALSE),0))</f>
        <v>#VALUE!</v>
      </c>
      <c r="BI3" t="e">
        <f>MAX(0,SUM(IF(FREQUENCY(IF((BI7:BI11&gt;0)*($G7:$G11&lt;&gt;""),MATCH($G7:$G11,$G7:$G11,0)),ROW($G7:$G11)-ROW($G7)+1)&gt;0,1))-1)*IF(BI2="双",VLOOKUP($A$1,换码设置!$A:$C,2,FALSE),IF(BI2="单",VLOOKUP($A$1,换码设置!$A:$C,3,FALSE),0))</f>
        <v>#VALUE!</v>
      </c>
      <c r="BJ3" t="e">
        <f>MAX(0,SUM(IF(FREQUENCY(IF((BJ7:BJ11&gt;0)*($G7:$G11&lt;&gt;""),MATCH($G7:$G11,$G7:$G11,0)),ROW($G7:$G11)-ROW($G7)+1)&gt;0,1))-1)*IF(BJ2="双",VLOOKUP($A$1,换码设置!$A:$C,2,FALSE),IF(BJ2="单",VLOOKUP($A$1,换码设置!$A:$C,3,FALSE),0))</f>
        <v>#VALUE!</v>
      </c>
      <c r="BK3" t="e">
        <f>MAX(0,SUM(IF(FREQUENCY(IF((BK7:BK11&gt;0)*($G7:$G11&lt;&gt;""),MATCH($G7:$G11,$G7:$G11,0)),ROW($G7:$G11)-ROW($G7)+1)&gt;0,1))-1)*IF(BK2="双",VLOOKUP($A$1,换码设置!$A:$C,2,FALSE),IF(BK2="单",VLOOKUP($A$1,换码设置!$A:$C,3,FALSE),0))</f>
        <v>#VALUE!</v>
      </c>
      <c r="BL3" t="e">
        <f>MAX(0,SUM(IF(FREQUENCY(IF((BL7:BL11&gt;0)*($G7:$G11&lt;&gt;""),MATCH($G7:$G11,$G7:$G11,0)),ROW($G7:$G11)-ROW($G7)+1)&gt;0,1))-1)*IF(BL2="双",VLOOKUP($A$1,换码设置!$A:$C,2,FALSE),IF(BL2="单",VLOOKUP($A$1,换码设置!$A:$C,3,FALSE),0))</f>
        <v>#VALUE!</v>
      </c>
      <c r="BM3" t="e">
        <f>MAX(0,SUM(IF(FREQUENCY(IF((BM7:BM11&gt;0)*($G7:$G11&lt;&gt;""),MATCH($G7:$G11,$G7:$G11,0)),ROW($G7:$G11)-ROW($G7)+1)&gt;0,1))-1)*IF(BM2="双",VLOOKUP($A$1,换码设置!$A:$C,2,FALSE),IF(BM2="单",VLOOKUP($A$1,换码设置!$A:$C,3,FALSE),0))</f>
        <v>#VALUE!</v>
      </c>
      <c r="BN3" t="e">
        <f>MAX(0,SUM(IF(FREQUENCY(IF((BN7:BN11&gt;0)*($G7:$G11&lt;&gt;""),MATCH($G7:$G11,$G7:$G11,0)),ROW($G7:$G11)-ROW($G7)+1)&gt;0,1))-1)*IF(BN2="双",VLOOKUP($A$1,换码设置!$A:$C,2,FALSE),IF(BN2="单",VLOOKUP($A$1,换码设置!$A:$C,3,FALSE),0))</f>
        <v>#VALUE!</v>
      </c>
      <c r="BO3" t="e">
        <f>MAX(0,SUM(IF(FREQUENCY(IF((BO7:BO11&gt;0)*($G7:$G11&lt;&gt;""),MATCH($G7:$G11,$G7:$G11,0)),ROW($G7:$G11)-ROW($G7)+1)&gt;0,1))-1)*IF(BO2="双",VLOOKUP($A$1,换码设置!$A:$C,2,FALSE),IF(BO2="单",VLOOKUP($A$1,换码设置!$A:$C,3,FALSE),0))</f>
        <v>#VALUE!</v>
      </c>
      <c r="BP3" t="e">
        <f>MAX(0,SUM(IF(FREQUENCY(IF((BP7:BP11&gt;0)*($G7:$G11&lt;&gt;""),MATCH($G7:$G11,$G7:$G11,0)),ROW($G7:$G11)-ROW($G7)+1)&gt;0,1))-1)*IF(BP2="双",VLOOKUP($A$1,换码设置!$A:$C,2,FALSE),IF(BP2="单",VLOOKUP($A$1,换码设置!$A:$C,3,FALSE),0))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0"/>
      <c r="G5" s="100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ht="15.5" customHeight="1">
      <c r="A7" s="26" t="s">
        <v>471</v>
      </c>
      <c r="B7" s="26" t="s">
        <v>472</v>
      </c>
      <c r="C7" s="26"/>
      <c r="D7" s="19" t="s">
        <v>473</v>
      </c>
      <c r="E7" s="27" t="s">
        <v>474</v>
      </c>
      <c r="F7" s="26">
        <v>26</v>
      </c>
      <c r="G7" s="26">
        <v>8</v>
      </c>
      <c r="H7" s="23"/>
      <c r="I7" s="23"/>
      <c r="J7" s="19">
        <v>2000</v>
      </c>
      <c r="K7" s="19" t="e">
        <f>J6*F6*G6</f>
        <v>#VALUE!</v>
      </c>
      <c r="L7" s="19">
        <v>0</v>
      </c>
      <c r="M7" s="28">
        <v>857</v>
      </c>
      <c r="N7" s="28">
        <v>857</v>
      </c>
      <c r="O7" s="28">
        <v>286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26" t="s">
        <v>471</v>
      </c>
      <c r="B8" s="26" t="s">
        <v>472</v>
      </c>
      <c r="C8" s="26"/>
      <c r="D8" s="19" t="s">
        <v>475</v>
      </c>
      <c r="E8" s="27" t="s">
        <v>476</v>
      </c>
      <c r="F8" s="26">
        <v>10</v>
      </c>
      <c r="G8" s="26">
        <v>20</v>
      </c>
      <c r="H8" s="23"/>
      <c r="I8" s="23"/>
      <c r="J8" s="19">
        <v>6000</v>
      </c>
      <c r="K8" s="19">
        <f>J7*F7*G7</f>
        <v>416000</v>
      </c>
      <c r="L8" s="19">
        <v>0</v>
      </c>
      <c r="M8" s="28"/>
      <c r="N8" s="28"/>
      <c r="O8" s="28">
        <v>594</v>
      </c>
      <c r="P8" s="28">
        <v>891</v>
      </c>
      <c r="Q8" s="28"/>
      <c r="R8" s="28">
        <v>891</v>
      </c>
      <c r="S8" s="28">
        <v>891</v>
      </c>
      <c r="T8" s="28">
        <v>891</v>
      </c>
      <c r="U8" s="28">
        <v>891</v>
      </c>
      <c r="V8" s="28">
        <v>891</v>
      </c>
      <c r="W8" s="28">
        <v>60</v>
      </c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s="2" customFormat="1" ht="17" customHeight="1">
      <c r="A9" s="26" t="s">
        <v>477</v>
      </c>
      <c r="B9" s="26" t="s">
        <v>472</v>
      </c>
      <c r="C9" s="26"/>
      <c r="D9" s="19" t="s">
        <v>478</v>
      </c>
      <c r="E9" s="27" t="s">
        <v>479</v>
      </c>
      <c r="F9" s="26">
        <v>10</v>
      </c>
      <c r="G9" s="26">
        <v>20</v>
      </c>
      <c r="H9" s="23"/>
      <c r="I9" s="23"/>
      <c r="J9" s="19">
        <v>6000</v>
      </c>
      <c r="K9" s="19">
        <f>J8*F8*G8</f>
        <v>1200000</v>
      </c>
      <c r="L9" s="19">
        <v>0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>
        <v>831</v>
      </c>
      <c r="X9" s="28"/>
      <c r="Y9" s="28">
        <v>891</v>
      </c>
      <c r="Z9" s="28">
        <v>891</v>
      </c>
      <c r="AA9" s="28">
        <v>891</v>
      </c>
      <c r="AB9" s="28">
        <v>891</v>
      </c>
      <c r="AC9" s="28">
        <v>891</v>
      </c>
      <c r="AD9" s="28">
        <v>714</v>
      </c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s="2" customFormat="1" ht="15.5" customHeight="1">
      <c r="A10" s="18" t="s">
        <v>480</v>
      </c>
      <c r="B10" s="19" t="s">
        <v>472</v>
      </c>
      <c r="C10" s="20"/>
      <c r="D10" s="19" t="s">
        <v>481</v>
      </c>
      <c r="E10" s="21" t="s">
        <v>482</v>
      </c>
      <c r="F10" s="19">
        <v>46</v>
      </c>
      <c r="G10" s="19">
        <v>6</v>
      </c>
      <c r="H10" s="22"/>
      <c r="I10" s="23"/>
      <c r="J10" s="19">
        <v>5000</v>
      </c>
      <c r="K10" s="19">
        <f>F9*G9*J9</f>
        <v>1200000</v>
      </c>
      <c r="L10" s="19">
        <v>0</v>
      </c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>
        <v>128</v>
      </c>
      <c r="AE10" s="24"/>
      <c r="AF10" s="24">
        <v>646</v>
      </c>
      <c r="AG10" s="24">
        <v>646</v>
      </c>
      <c r="AH10" s="24">
        <v>646</v>
      </c>
      <c r="AI10" s="24">
        <v>646</v>
      </c>
      <c r="AJ10" s="24">
        <v>646</v>
      </c>
      <c r="AK10" s="24">
        <v>646</v>
      </c>
      <c r="AL10" s="24"/>
      <c r="AM10" s="24">
        <v>646</v>
      </c>
      <c r="AN10" s="24">
        <v>350</v>
      </c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</row>
    <row r="11" spans="1:68" ht="17" customHeight="1">
      <c r="A11" s="18" t="s">
        <v>480</v>
      </c>
      <c r="B11" s="19"/>
      <c r="C11" s="20"/>
      <c r="D11" s="19"/>
      <c r="E11" s="21" t="s">
        <v>482</v>
      </c>
      <c r="F11" s="19">
        <v>46</v>
      </c>
      <c r="G11" s="19">
        <v>6</v>
      </c>
      <c r="H11" s="22"/>
      <c r="I11" s="23"/>
      <c r="J11" s="19">
        <v>11000</v>
      </c>
      <c r="K11" s="19">
        <f>F10*G10*J10</f>
        <v>1380000</v>
      </c>
      <c r="L11" s="19">
        <v>0</v>
      </c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>
        <v>296</v>
      </c>
      <c r="AO11" s="24">
        <v>646</v>
      </c>
      <c r="AP11" s="24">
        <v>646</v>
      </c>
      <c r="AQ11" s="24">
        <v>646</v>
      </c>
      <c r="AR11" s="24">
        <v>646</v>
      </c>
      <c r="AS11" s="24"/>
      <c r="AT11" s="24">
        <v>646</v>
      </c>
      <c r="AU11" s="24">
        <v>646</v>
      </c>
      <c r="AV11" s="24">
        <v>646</v>
      </c>
      <c r="AW11" s="24">
        <v>646</v>
      </c>
      <c r="AX11" s="24">
        <v>646</v>
      </c>
      <c r="AY11" s="24">
        <v>646</v>
      </c>
      <c r="AZ11" s="24"/>
      <c r="BA11" s="24">
        <v>646</v>
      </c>
      <c r="BB11" s="24">
        <v>646</v>
      </c>
      <c r="BC11" s="24">
        <v>646</v>
      </c>
      <c r="BD11" s="24">
        <v>646</v>
      </c>
      <c r="BE11" s="24">
        <v>646</v>
      </c>
      <c r="BF11" s="24">
        <v>646</v>
      </c>
      <c r="BG11" s="24"/>
      <c r="BH11" s="24">
        <v>368</v>
      </c>
      <c r="BI11" s="24"/>
      <c r="BJ11" s="24"/>
      <c r="BK11" s="24"/>
      <c r="BL11" s="24"/>
      <c r="BM11" s="24"/>
      <c r="BN11" s="24"/>
      <c r="BO11" s="24"/>
      <c r="BP11" s="24"/>
    </row>
  </sheetData>
  <mergeCells count="3">
    <mergeCell ref="A1:H4"/>
    <mergeCell ref="I3:J4"/>
    <mergeCell ref="F5:G5"/>
  </mergeCells>
  <phoneticPr fontId="19" type="noConversion"/>
  <conditionalFormatting sqref="D10">
    <cfRule type="cellIs" dxfId="35" priority="2" stopIfTrue="1" operator="equal">
      <formula>"C-B&gt;30"</formula>
    </cfRule>
    <cfRule type="cellIs" dxfId="34" priority="1" stopIfTrue="1" operator="equal">
      <formula>"C-B&gt;10"</formula>
    </cfRule>
  </conditionalFormatting>
  <conditionalFormatting sqref="D6:D9">
    <cfRule type="cellIs" dxfId="33" priority="9" stopIfTrue="1" operator="equal">
      <formula>"C-B&gt;10"</formula>
    </cfRule>
    <cfRule type="cellIs" dxfId="32" priority="10" stopIfTrue="1" operator="equal">
      <formula>"C-B&gt;30"</formula>
    </cfRule>
  </conditionalFormatting>
  <dataValidations count="1">
    <dataValidation type="list" allowBlank="1" showInputMessage="1" showErrorMessage="1" sqref="M2:BP2" xr:uid="{00000000-0002-0000-0D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BP12"/>
  <sheetViews>
    <sheetView showGridLines="0" zoomScale="85" zoomScaleNormal="85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4" style="91" customWidth="1"/>
    <col min="3" max="3" width="8" style="91" customWidth="1"/>
    <col min="4" max="4" width="19.5" style="91" customWidth="1"/>
    <col min="5" max="5" width="44" style="91" customWidth="1"/>
    <col min="8" max="8" width="8.83203125" style="3" customWidth="1"/>
    <col min="9" max="9" width="10.1640625" style="3" customWidth="1"/>
    <col min="10" max="10" width="11.83203125" style="91" customWidth="1"/>
    <col min="11" max="12" width="12.83203125" style="91" customWidth="1"/>
    <col min="13" max="68" width="9" style="91" customWidth="1"/>
  </cols>
  <sheetData>
    <row r="1" spans="1:68" s="1" customFormat="1" ht="16.25" customHeight="1">
      <c r="A1" s="99" t="s">
        <v>483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282150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500000</v>
      </c>
      <c r="K2" s="5" t="s">
        <v>137</v>
      </c>
      <c r="L2" s="7" t="e">
        <f>SUM(#REF!)</f>
        <v>#REF!</v>
      </c>
      <c r="M2" s="8" t="s">
        <v>5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MAX(0,SUM(IF(FREQUENCY(IF((M7:M12&gt;0)*($G7:$G12&lt;&gt;""),MATCH($G7:$G12,$G7:$G12,0)),ROW($G7:$G12)-ROW($G7)+1)&gt;0,1))-1)*IF(M2="双",VLOOKUP($A$1,换码设置!$A:$C,2,FALSE),IF(M2="单",VLOOKUP($A$1,换码设置!$A:$C,3,FALSE),0))</f>
        <v>#VALUE!</v>
      </c>
      <c r="N3" t="e">
        <f>MAX(0,SUM(IF(FREQUENCY(IF((N7:N12&gt;0)*($G7:$G12&lt;&gt;""),MATCH($G7:$G12,$G7:$G12,0)),ROW($G7:$G12)-ROW($G7)+1)&gt;0,1))-1)*IF(N2="双",VLOOKUP($A$1,换码设置!$A:$C,2,FALSE),IF(N2="单",VLOOKUP($A$1,换码设置!$A:$C,3,FALSE),0))</f>
        <v>#VALUE!</v>
      </c>
      <c r="O3" t="e">
        <f>MAX(0,SUM(IF(FREQUENCY(IF((O7:O12&gt;0)*($G7:$G12&lt;&gt;""),MATCH($G7:$G12,$G7:$G12,0)),ROW($G7:$G12)-ROW($G7)+1)&gt;0,1))-1)*IF(O2="双",VLOOKUP($A$1,换码设置!$A:$C,2,FALSE),IF(O2="单",VLOOKUP($A$1,换码设置!$A:$C,3,FALSE),0))</f>
        <v>#VALUE!</v>
      </c>
      <c r="P3" t="e">
        <f>MAX(0,SUM(IF(FREQUENCY(IF((P7:P12&gt;0)*($G7:$G12&lt;&gt;""),MATCH($G7:$G12,$G7:$G12,0)),ROW($G7:$G12)-ROW($G7)+1)&gt;0,1))-1)*IF(P2="双",VLOOKUP($A$1,换码设置!$A:$C,2,FALSE),IF(P2="单",VLOOKUP($A$1,换码设置!$A:$C,3,FALSE),0))</f>
        <v>#VALUE!</v>
      </c>
      <c r="Q3" t="e">
        <f>MAX(0,SUM(IF(FREQUENCY(IF((Q7:Q12&gt;0)*($G7:$G12&lt;&gt;""),MATCH($G7:$G12,$G7:$G12,0)),ROW($G7:$G12)-ROW($G7)+1)&gt;0,1))-1)*IF(Q2="双",VLOOKUP($A$1,换码设置!$A:$C,2,FALSE),IF(Q2="单",VLOOKUP($A$1,换码设置!$A:$C,3,FALSE),0))</f>
        <v>#VALUE!</v>
      </c>
      <c r="R3" t="e">
        <f>MAX(0,SUM(IF(FREQUENCY(IF((R7:R12&gt;0)*($G7:$G12&lt;&gt;""),MATCH($G7:$G12,$G7:$G12,0)),ROW($G7:$G12)-ROW($G7)+1)&gt;0,1))-1)*IF(R2="双",VLOOKUP($A$1,换码设置!$A:$C,2,FALSE),IF(R2="单",VLOOKUP($A$1,换码设置!$A:$C,3,FALSE),0))</f>
        <v>#VALUE!</v>
      </c>
      <c r="S3" t="e">
        <f>MAX(0,SUM(IF(FREQUENCY(IF((S7:S12&gt;0)*($G7:$G12&lt;&gt;""),MATCH($G7:$G12,$G7:$G12,0)),ROW($G7:$G12)-ROW($G7)+1)&gt;0,1))-1)*IF(S2="双",VLOOKUP($A$1,换码设置!$A:$C,2,FALSE),IF(S2="单",VLOOKUP($A$1,换码设置!$A:$C,3,FALSE),0))</f>
        <v>#VALUE!</v>
      </c>
      <c r="T3" t="e">
        <f>MAX(0,SUM(IF(FREQUENCY(IF((T7:T12&gt;0)*($G7:$G12&lt;&gt;""),MATCH($G7:$G12,$G7:$G12,0)),ROW($G7:$G12)-ROW($G7)+1)&gt;0,1))-1)*IF(T2="双",VLOOKUP($A$1,换码设置!$A:$C,2,FALSE),IF(T2="单",VLOOKUP($A$1,换码设置!$A:$C,3,FALSE),0))</f>
        <v>#VALUE!</v>
      </c>
      <c r="U3" t="e">
        <f>MAX(0,SUM(IF(FREQUENCY(IF((U7:U12&gt;0)*($G7:$G12&lt;&gt;""),MATCH($G7:$G12,$G7:$G12,0)),ROW($G7:$G12)-ROW($G7)+1)&gt;0,1))-1)*IF(U2="双",VLOOKUP($A$1,换码设置!$A:$C,2,FALSE),IF(U2="单",VLOOKUP($A$1,换码设置!$A:$C,3,FALSE),0))</f>
        <v>#VALUE!</v>
      </c>
      <c r="V3" t="e">
        <f>MAX(0,SUM(IF(FREQUENCY(IF((V7:V12&gt;0)*($G7:$G12&lt;&gt;""),MATCH($G7:$G12,$G7:$G12,0)),ROW($G7:$G12)-ROW($G7)+1)&gt;0,1))-1)*IF(V2="双",VLOOKUP($A$1,换码设置!$A:$C,2,FALSE),IF(V2="单",VLOOKUP($A$1,换码设置!$A:$C,3,FALSE),0))</f>
        <v>#VALUE!</v>
      </c>
      <c r="W3" t="e">
        <f>MAX(0,SUM(IF(FREQUENCY(IF((W7:W12&gt;0)*($G7:$G12&lt;&gt;""),MATCH($G7:$G12,$G7:$G12,0)),ROW($G7:$G12)-ROW($G7)+1)&gt;0,1))-1)*IF(W2="双",VLOOKUP($A$1,换码设置!$A:$C,2,FALSE),IF(W2="单",VLOOKUP($A$1,换码设置!$A:$C,3,FALSE),0))</f>
        <v>#VALUE!</v>
      </c>
      <c r="X3" t="e">
        <f>MAX(0,SUM(IF(FREQUENCY(IF((X7:X12&gt;0)*($G7:$G12&lt;&gt;""),MATCH($G7:$G12,$G7:$G12,0)),ROW($G7:$G12)-ROW($G7)+1)&gt;0,1))-1)*IF(X2="双",VLOOKUP($A$1,换码设置!$A:$C,2,FALSE),IF(X2="单",VLOOKUP($A$1,换码设置!$A:$C,3,FALSE),0))</f>
        <v>#VALUE!</v>
      </c>
      <c r="Y3" t="e">
        <f>MAX(0,SUM(IF(FREQUENCY(IF((Y7:Y12&gt;0)*($G7:$G12&lt;&gt;""),MATCH($G7:$G12,$G7:$G12,0)),ROW($G7:$G12)-ROW($G7)+1)&gt;0,1))-1)*IF(Y2="双",VLOOKUP($A$1,换码设置!$A:$C,2,FALSE),IF(Y2="单",VLOOKUP($A$1,换码设置!$A:$C,3,FALSE),0))</f>
        <v>#VALUE!</v>
      </c>
      <c r="Z3" t="e">
        <f>MAX(0,SUM(IF(FREQUENCY(IF((Z7:Z12&gt;0)*($G7:$G12&lt;&gt;""),MATCH($G7:$G12,$G7:$G12,0)),ROW($G7:$G12)-ROW($G7)+1)&gt;0,1))-1)*IF(Z2="双",VLOOKUP($A$1,换码设置!$A:$C,2,FALSE),IF(Z2="单",VLOOKUP($A$1,换码设置!$A:$C,3,FALSE),0))</f>
        <v>#VALUE!</v>
      </c>
      <c r="AA3" t="e">
        <f>MAX(0,SUM(IF(FREQUENCY(IF((AA7:AA12&gt;0)*($G7:$G12&lt;&gt;""),MATCH($G7:$G12,$G7:$G12,0)),ROW($G7:$G12)-ROW($G7)+1)&gt;0,1))-1)*IF(AA2="双",VLOOKUP($A$1,换码设置!$A:$C,2,FALSE),IF(AA2="单",VLOOKUP($A$1,换码设置!$A:$C,3,FALSE),0))</f>
        <v>#VALUE!</v>
      </c>
      <c r="AB3" t="e">
        <f>MAX(0,SUM(IF(FREQUENCY(IF((AB7:AB12&gt;0)*($G7:$G12&lt;&gt;""),MATCH($G7:$G12,$G7:$G12,0)),ROW($G7:$G12)-ROW($G7)+1)&gt;0,1))-1)*IF(AB2="双",VLOOKUP($A$1,换码设置!$A:$C,2,FALSE),IF(AB2="单",VLOOKUP($A$1,换码设置!$A:$C,3,FALSE),0))</f>
        <v>#VALUE!</v>
      </c>
      <c r="AC3" t="e">
        <f>MAX(0,SUM(IF(FREQUENCY(IF((AC7:AC12&gt;0)*($G7:$G12&lt;&gt;""),MATCH($G7:$G12,$G7:$G12,0)),ROW($G7:$G12)-ROW($G7)+1)&gt;0,1))-1)*IF(AC2="双",VLOOKUP($A$1,换码设置!$A:$C,2,FALSE),IF(AC2="单",VLOOKUP($A$1,换码设置!$A:$C,3,FALSE),0))</f>
        <v>#VALUE!</v>
      </c>
      <c r="AD3" t="e">
        <f>MAX(0,SUM(IF(FREQUENCY(IF((AD7:AD12&gt;0)*($G7:$G12&lt;&gt;""),MATCH($G7:$G12,$G7:$G12,0)),ROW($G7:$G12)-ROW($G7)+1)&gt;0,1))-1)*IF(AD2="双",VLOOKUP($A$1,换码设置!$A:$C,2,FALSE),IF(AD2="单",VLOOKUP($A$1,换码设置!$A:$C,3,FALSE),0))</f>
        <v>#VALUE!</v>
      </c>
      <c r="AE3" t="e">
        <f>MAX(0,SUM(IF(FREQUENCY(IF((AE7:AE12&gt;0)*($G7:$G12&lt;&gt;""),MATCH($G7:$G12,$G7:$G12,0)),ROW($G7:$G12)-ROW($G7)+1)&gt;0,1))-1)*IF(AE2="双",VLOOKUP($A$1,换码设置!$A:$C,2,FALSE),IF(AE2="单",VLOOKUP($A$1,换码设置!$A:$C,3,FALSE),0))</f>
        <v>#VALUE!</v>
      </c>
      <c r="AF3" t="e">
        <f>MAX(0,SUM(IF(FREQUENCY(IF((AF7:AF12&gt;0)*($G7:$G12&lt;&gt;""),MATCH($G7:$G12,$G7:$G12,0)),ROW($G7:$G12)-ROW($G7)+1)&gt;0,1))-1)*IF(AF2="双",VLOOKUP($A$1,换码设置!$A:$C,2,FALSE),IF(AF2="单",VLOOKUP($A$1,换码设置!$A:$C,3,FALSE),0))</f>
        <v>#VALUE!</v>
      </c>
      <c r="AG3" t="e">
        <f>MAX(0,SUM(IF(FREQUENCY(IF((AG7:AG12&gt;0)*($G7:$G12&lt;&gt;""),MATCH($G7:$G12,$G7:$G12,0)),ROW($G7:$G12)-ROW($G7)+1)&gt;0,1))-1)*IF(AG2="双",VLOOKUP($A$1,换码设置!$A:$C,2,FALSE),IF(AG2="单",VLOOKUP($A$1,换码设置!$A:$C,3,FALSE),0))</f>
        <v>#VALUE!</v>
      </c>
      <c r="AH3" t="e">
        <f>MAX(0,SUM(IF(FREQUENCY(IF((AH7:AH12&gt;0)*($G7:$G12&lt;&gt;""),MATCH($G7:$G12,$G7:$G12,0)),ROW($G7:$G12)-ROW($G7)+1)&gt;0,1))-1)*IF(AH2="双",VLOOKUP($A$1,换码设置!$A:$C,2,FALSE),IF(AH2="单",VLOOKUP($A$1,换码设置!$A:$C,3,FALSE),0))</f>
        <v>#VALUE!</v>
      </c>
      <c r="AI3" t="e">
        <f>MAX(0,SUM(IF(FREQUENCY(IF((AI7:AI12&gt;0)*($G7:$G12&lt;&gt;""),MATCH($G7:$G12,$G7:$G12,0)),ROW($G7:$G12)-ROW($G7)+1)&gt;0,1))-1)*IF(AI2="双",VLOOKUP($A$1,换码设置!$A:$C,2,FALSE),IF(AI2="单",VLOOKUP($A$1,换码设置!$A:$C,3,FALSE),0))</f>
        <v>#VALUE!</v>
      </c>
      <c r="AJ3" t="e">
        <f>MAX(0,SUM(IF(FREQUENCY(IF((AJ7:AJ12&gt;0)*($G7:$G12&lt;&gt;""),MATCH($G7:$G12,$G7:$G12,0)),ROW($G7:$G12)-ROW($G7)+1)&gt;0,1))-1)*IF(AJ2="双",VLOOKUP($A$1,换码设置!$A:$C,2,FALSE),IF(AJ2="单",VLOOKUP($A$1,换码设置!$A:$C,3,FALSE),0))</f>
        <v>#VALUE!</v>
      </c>
      <c r="AK3" t="e">
        <f>MAX(0,SUM(IF(FREQUENCY(IF((AK7:AK12&gt;0)*($G7:$G12&lt;&gt;""),MATCH($G7:$G12,$G7:$G12,0)),ROW($G7:$G12)-ROW($G7)+1)&gt;0,1))-1)*IF(AK2="双",VLOOKUP($A$1,换码设置!$A:$C,2,FALSE),IF(AK2="单",VLOOKUP($A$1,换码设置!$A:$C,3,FALSE),0))</f>
        <v>#VALUE!</v>
      </c>
      <c r="AL3" t="e">
        <f>MAX(0,SUM(IF(FREQUENCY(IF((AL7:AL12&gt;0)*($G7:$G12&lt;&gt;""),MATCH($G7:$G12,$G7:$G12,0)),ROW($G7:$G12)-ROW($G7)+1)&gt;0,1))-1)*IF(AL2="双",VLOOKUP($A$1,换码设置!$A:$C,2,FALSE),IF(AL2="单",VLOOKUP($A$1,换码设置!$A:$C,3,FALSE),0))</f>
        <v>#VALUE!</v>
      </c>
      <c r="AM3" t="e">
        <f>MAX(0,SUM(IF(FREQUENCY(IF((AM7:AM12&gt;0)*($G7:$G12&lt;&gt;""),MATCH($G7:$G12,$G7:$G12,0)),ROW($G7:$G12)-ROW($G7)+1)&gt;0,1))-1)*IF(AM2="双",VLOOKUP($A$1,换码设置!$A:$C,2,FALSE),IF(AM2="单",VLOOKUP($A$1,换码设置!$A:$C,3,FALSE),0))</f>
        <v>#VALUE!</v>
      </c>
      <c r="AN3" t="e">
        <f>MAX(0,SUM(IF(FREQUENCY(IF((AN7:AN12&gt;0)*($G7:$G12&lt;&gt;""),MATCH($G7:$G12,$G7:$G12,0)),ROW($G7:$G12)-ROW($G7)+1)&gt;0,1))-1)*IF(AN2="双",VLOOKUP($A$1,换码设置!$A:$C,2,FALSE),IF(AN2="单",VLOOKUP($A$1,换码设置!$A:$C,3,FALSE),0))</f>
        <v>#VALUE!</v>
      </c>
      <c r="AO3" t="e">
        <f>MAX(0,SUM(IF(FREQUENCY(IF((AO7:AO12&gt;0)*($G7:$G12&lt;&gt;""),MATCH($G7:$G12,$G7:$G12,0)),ROW($G7:$G12)-ROW($G7)+1)&gt;0,1))-1)*IF(AO2="双",VLOOKUP($A$1,换码设置!$A:$C,2,FALSE),IF(AO2="单",VLOOKUP($A$1,换码设置!$A:$C,3,FALSE),0))</f>
        <v>#VALUE!</v>
      </c>
      <c r="AP3" t="e">
        <f>MAX(0,SUM(IF(FREQUENCY(IF((AP7:AP12&gt;0)*($G7:$G12&lt;&gt;""),MATCH($G7:$G12,$G7:$G12,0)),ROW($G7:$G12)-ROW($G7)+1)&gt;0,1))-1)*IF(AP2="双",VLOOKUP($A$1,换码设置!$A:$C,2,FALSE),IF(AP2="单",VLOOKUP($A$1,换码设置!$A:$C,3,FALSE),0))</f>
        <v>#VALUE!</v>
      </c>
      <c r="AQ3" t="e">
        <f>MAX(0,SUM(IF(FREQUENCY(IF((AQ7:AQ12&gt;0)*($G7:$G12&lt;&gt;""),MATCH($G7:$G12,$G7:$G12,0)),ROW($G7:$G12)-ROW($G7)+1)&gt;0,1))-1)*IF(AQ2="双",VLOOKUP($A$1,换码设置!$A:$C,2,FALSE),IF(AQ2="单",VLOOKUP($A$1,换码设置!$A:$C,3,FALSE),0))</f>
        <v>#VALUE!</v>
      </c>
      <c r="AR3" t="e">
        <f>MAX(0,SUM(IF(FREQUENCY(IF((AR7:AR12&gt;0)*($G7:$G12&lt;&gt;""),MATCH($G7:$G12,$G7:$G12,0)),ROW($G7:$G12)-ROW($G7)+1)&gt;0,1))-1)*IF(AR2="双",VLOOKUP($A$1,换码设置!$A:$C,2,FALSE),IF(AR2="单",VLOOKUP($A$1,换码设置!$A:$C,3,FALSE),0))</f>
        <v>#VALUE!</v>
      </c>
      <c r="AS3" t="e">
        <f>MAX(0,SUM(IF(FREQUENCY(IF((AS7:AS12&gt;0)*($G7:$G12&lt;&gt;""),MATCH($G7:$G12,$G7:$G12,0)),ROW($G7:$G12)-ROW($G7)+1)&gt;0,1))-1)*IF(AS2="双",VLOOKUP($A$1,换码设置!$A:$C,2,FALSE),IF(AS2="单",VLOOKUP($A$1,换码设置!$A:$C,3,FALSE),0))</f>
        <v>#VALUE!</v>
      </c>
      <c r="AT3" t="e">
        <f>MAX(0,SUM(IF(FREQUENCY(IF((AT7:AT12&gt;0)*($G7:$G12&lt;&gt;""),MATCH($G7:$G12,$G7:$G12,0)),ROW($G7:$G12)-ROW($G7)+1)&gt;0,1))-1)*IF(AT2="双",VLOOKUP($A$1,换码设置!$A:$C,2,FALSE),IF(AT2="单",VLOOKUP($A$1,换码设置!$A:$C,3,FALSE),0))</f>
        <v>#VALUE!</v>
      </c>
      <c r="AU3" t="e">
        <f>MAX(0,SUM(IF(FREQUENCY(IF((AU7:AU12&gt;0)*($G7:$G12&lt;&gt;""),MATCH($G7:$G12,$G7:$G12,0)),ROW($G7:$G12)-ROW($G7)+1)&gt;0,1))-1)*IF(AU2="双",VLOOKUP($A$1,换码设置!$A:$C,2,FALSE),IF(AU2="单",VLOOKUP($A$1,换码设置!$A:$C,3,FALSE),0))</f>
        <v>#VALUE!</v>
      </c>
      <c r="AV3" t="e">
        <f>MAX(0,SUM(IF(FREQUENCY(IF((AV7:AV12&gt;0)*($G7:$G12&lt;&gt;""),MATCH($G7:$G12,$G7:$G12,0)),ROW($G7:$G12)-ROW($G7)+1)&gt;0,1))-1)*IF(AV2="双",VLOOKUP($A$1,换码设置!$A:$C,2,FALSE),IF(AV2="单",VLOOKUP($A$1,换码设置!$A:$C,3,FALSE),0))</f>
        <v>#VALUE!</v>
      </c>
      <c r="AW3" t="e">
        <f>MAX(0,SUM(IF(FREQUENCY(IF((AW7:AW12&gt;0)*($G7:$G12&lt;&gt;""),MATCH($G7:$G12,$G7:$G12,0)),ROW($G7:$G12)-ROW($G7)+1)&gt;0,1))-1)*IF(AW2="双",VLOOKUP($A$1,换码设置!$A:$C,2,FALSE),IF(AW2="单",VLOOKUP($A$1,换码设置!$A:$C,3,FALSE),0))</f>
        <v>#VALUE!</v>
      </c>
      <c r="AX3" t="e">
        <f>MAX(0,SUM(IF(FREQUENCY(IF((AX7:AX12&gt;0)*($G7:$G12&lt;&gt;""),MATCH($G7:$G12,$G7:$G12,0)),ROW($G7:$G12)-ROW($G7)+1)&gt;0,1))-1)*IF(AX2="双",VLOOKUP($A$1,换码设置!$A:$C,2,FALSE),IF(AX2="单",VLOOKUP($A$1,换码设置!$A:$C,3,FALSE),0))</f>
        <v>#VALUE!</v>
      </c>
      <c r="AY3" t="e">
        <f>MAX(0,SUM(IF(FREQUENCY(IF((AY7:AY12&gt;0)*($G7:$G12&lt;&gt;""),MATCH($G7:$G12,$G7:$G12,0)),ROW($G7:$G12)-ROW($G7)+1)&gt;0,1))-1)*IF(AY2="双",VLOOKUP($A$1,换码设置!$A:$C,2,FALSE),IF(AY2="单",VLOOKUP($A$1,换码设置!$A:$C,3,FALSE),0))</f>
        <v>#VALUE!</v>
      </c>
      <c r="AZ3" t="e">
        <f>MAX(0,SUM(IF(FREQUENCY(IF((AZ7:AZ12&gt;0)*($G7:$G12&lt;&gt;""),MATCH($G7:$G12,$G7:$G12,0)),ROW($G7:$G12)-ROW($G7)+1)&gt;0,1))-1)*IF(AZ2="双",VLOOKUP($A$1,换码设置!$A:$C,2,FALSE),IF(AZ2="单",VLOOKUP($A$1,换码设置!$A:$C,3,FALSE),0))</f>
        <v>#VALUE!</v>
      </c>
      <c r="BA3" t="e">
        <f>MAX(0,SUM(IF(FREQUENCY(IF((BA7:BA12&gt;0)*($G7:$G12&lt;&gt;""),MATCH($G7:$G12,$G7:$G12,0)),ROW($G7:$G12)-ROW($G7)+1)&gt;0,1))-1)*IF(BA2="双",VLOOKUP($A$1,换码设置!$A:$C,2,FALSE),IF(BA2="单",VLOOKUP($A$1,换码设置!$A:$C,3,FALSE),0))</f>
        <v>#VALUE!</v>
      </c>
      <c r="BB3" t="e">
        <f>MAX(0,SUM(IF(FREQUENCY(IF((BB7:BB12&gt;0)*($G7:$G12&lt;&gt;""),MATCH($G7:$G12,$G7:$G12,0)),ROW($G7:$G12)-ROW($G7)+1)&gt;0,1))-1)*IF(BB2="双",VLOOKUP($A$1,换码设置!$A:$C,2,FALSE),IF(BB2="单",VLOOKUP($A$1,换码设置!$A:$C,3,FALSE),0))</f>
        <v>#VALUE!</v>
      </c>
      <c r="BC3" t="e">
        <f>MAX(0,SUM(IF(FREQUENCY(IF((BC7:BC12&gt;0)*($G7:$G12&lt;&gt;""),MATCH($G7:$G12,$G7:$G12,0)),ROW($G7:$G12)-ROW($G7)+1)&gt;0,1))-1)*IF(BC2="双",VLOOKUP($A$1,换码设置!$A:$C,2,FALSE),IF(BC2="单",VLOOKUP($A$1,换码设置!$A:$C,3,FALSE),0))</f>
        <v>#VALUE!</v>
      </c>
      <c r="BD3" t="e">
        <f>MAX(0,SUM(IF(FREQUENCY(IF((BD7:BD12&gt;0)*($G7:$G12&lt;&gt;""),MATCH($G7:$G12,$G7:$G12,0)),ROW($G7:$G12)-ROW($G7)+1)&gt;0,1))-1)*IF(BD2="双",VLOOKUP($A$1,换码设置!$A:$C,2,FALSE),IF(BD2="单",VLOOKUP($A$1,换码设置!$A:$C,3,FALSE),0))</f>
        <v>#VALUE!</v>
      </c>
      <c r="BE3" t="e">
        <f>MAX(0,SUM(IF(FREQUENCY(IF((BE7:BE12&gt;0)*($G7:$G12&lt;&gt;""),MATCH($G7:$G12,$G7:$G12,0)),ROW($G7:$G12)-ROW($G7)+1)&gt;0,1))-1)*IF(BE2="双",VLOOKUP($A$1,换码设置!$A:$C,2,FALSE),IF(BE2="单",VLOOKUP($A$1,换码设置!$A:$C,3,FALSE),0))</f>
        <v>#VALUE!</v>
      </c>
      <c r="BF3" t="e">
        <f>MAX(0,SUM(IF(FREQUENCY(IF((BF7:BF12&gt;0)*($G7:$G12&lt;&gt;""),MATCH($G7:$G12,$G7:$G12,0)),ROW($G7:$G12)-ROW($G7)+1)&gt;0,1))-1)*IF(BF2="双",VLOOKUP($A$1,换码设置!$A:$C,2,FALSE),IF(BF2="单",VLOOKUP($A$1,换码设置!$A:$C,3,FALSE),0))</f>
        <v>#VALUE!</v>
      </c>
      <c r="BG3" t="e">
        <f>MAX(0,SUM(IF(FREQUENCY(IF((BG7:BG12&gt;0)*($G7:$G12&lt;&gt;""),MATCH($G7:$G12,$G7:$G12,0)),ROW($G7:$G12)-ROW($G7)+1)&gt;0,1))-1)*IF(BG2="双",VLOOKUP($A$1,换码设置!$A:$C,2,FALSE),IF(BG2="单",VLOOKUP($A$1,换码设置!$A:$C,3,FALSE),0))</f>
        <v>#VALUE!</v>
      </c>
      <c r="BH3" t="e">
        <f>MAX(0,SUM(IF(FREQUENCY(IF((BH7:BH12&gt;0)*($G7:$G12&lt;&gt;""),MATCH($G7:$G12,$G7:$G12,0)),ROW($G7:$G12)-ROW($G7)+1)&gt;0,1))-1)*IF(BH2="双",VLOOKUP($A$1,换码设置!$A:$C,2,FALSE),IF(BH2="单",VLOOKUP($A$1,换码设置!$A:$C,3,FALSE),0))</f>
        <v>#VALUE!</v>
      </c>
      <c r="BI3" t="e">
        <f>MAX(0,SUM(IF(FREQUENCY(IF((BI7:BI12&gt;0)*($G7:$G12&lt;&gt;""),MATCH($G7:$G12,$G7:$G12,0)),ROW($G7:$G12)-ROW($G7)+1)&gt;0,1))-1)*IF(BI2="双",VLOOKUP($A$1,换码设置!$A:$C,2,FALSE),IF(BI2="单",VLOOKUP($A$1,换码设置!$A:$C,3,FALSE),0))</f>
        <v>#VALUE!</v>
      </c>
      <c r="BJ3" t="e">
        <f>MAX(0,SUM(IF(FREQUENCY(IF((BJ7:BJ12&gt;0)*($G7:$G12&lt;&gt;""),MATCH($G7:$G12,$G7:$G12,0)),ROW($G7:$G12)-ROW($G7)+1)&gt;0,1))-1)*IF(BJ2="双",VLOOKUP($A$1,换码设置!$A:$C,2,FALSE),IF(BJ2="单",VLOOKUP($A$1,换码设置!$A:$C,3,FALSE),0))</f>
        <v>#VALUE!</v>
      </c>
      <c r="BK3" t="e">
        <f>MAX(0,SUM(IF(FREQUENCY(IF((BK7:BK12&gt;0)*($G7:$G12&lt;&gt;""),MATCH($G7:$G12,$G7:$G12,0)),ROW($G7:$G12)-ROW($G7)+1)&gt;0,1))-1)*IF(BK2="双",VLOOKUP($A$1,换码设置!$A:$C,2,FALSE),IF(BK2="单",VLOOKUP($A$1,换码设置!$A:$C,3,FALSE),0))</f>
        <v>#VALUE!</v>
      </c>
      <c r="BL3" t="e">
        <f>MAX(0,SUM(IF(FREQUENCY(IF((BL7:BL12&gt;0)*($G7:$G12&lt;&gt;""),MATCH($G7:$G12,$G7:$G12,0)),ROW($G7:$G12)-ROW($G7)+1)&gt;0,1))-1)*IF(BL2="双",VLOOKUP($A$1,换码设置!$A:$C,2,FALSE),IF(BL2="单",VLOOKUP($A$1,换码设置!$A:$C,3,FALSE),0))</f>
        <v>#VALUE!</v>
      </c>
      <c r="BM3" t="e">
        <f>MAX(0,SUM(IF(FREQUENCY(IF((BM7:BM12&gt;0)*($G7:$G12&lt;&gt;""),MATCH($G7:$G12,$G7:$G12,0)),ROW($G7:$G12)-ROW($G7)+1)&gt;0,1))-1)*IF(BM2="双",VLOOKUP($A$1,换码设置!$A:$C,2,FALSE),IF(BM2="单",VLOOKUP($A$1,换码设置!$A:$C,3,FALSE),0))</f>
        <v>#VALUE!</v>
      </c>
      <c r="BN3" t="e">
        <f>MAX(0,SUM(IF(FREQUENCY(IF((BN7:BN12&gt;0)*($G7:$G12&lt;&gt;""),MATCH($G7:$G12,$G7:$G12,0)),ROW($G7:$G12)-ROW($G7)+1)&gt;0,1))-1)*IF(BN2="双",VLOOKUP($A$1,换码设置!$A:$C,2,FALSE),IF(BN2="单",VLOOKUP($A$1,换码设置!$A:$C,3,FALSE),0))</f>
        <v>#VALUE!</v>
      </c>
      <c r="BO3" t="e">
        <f>MAX(0,SUM(IF(FREQUENCY(IF((BO7:BO12&gt;0)*($G7:$G12&lt;&gt;""),MATCH($G7:$G12,$G7:$G12,0)),ROW($G7:$G12)-ROW($G7)+1)&gt;0,1))-1)*IF(BO2="双",VLOOKUP($A$1,换码设置!$A:$C,2,FALSE),IF(BO2="单",VLOOKUP($A$1,换码设置!$A:$C,3,FALSE),0))</f>
        <v>#VALUE!</v>
      </c>
      <c r="BP3" t="e">
        <f>MAX(0,SUM(IF(FREQUENCY(IF((BP7:BP12&gt;0)*($G7:$G12&lt;&gt;""),MATCH($G7:$G12,$G7:$G12,0)),ROW($G7:$G12)-ROW($G7)+1)&gt;0,1))-1)*IF(BP2="双",VLOOKUP($A$1,换码设置!$A:$C,2,FALSE),IF(BP2="单",VLOOKUP($A$1,换码设置!$A:$C,3,FALSE),0))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0"/>
      <c r="G5" s="100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ht="15.5" customHeight="1">
      <c r="A7" s="26" t="s">
        <v>471</v>
      </c>
      <c r="B7" s="26" t="s">
        <v>472</v>
      </c>
      <c r="C7" s="26"/>
      <c r="D7" s="19" t="s">
        <v>484</v>
      </c>
      <c r="E7" s="27" t="s">
        <v>474</v>
      </c>
      <c r="F7" s="26">
        <v>26</v>
      </c>
      <c r="G7" s="26">
        <v>8</v>
      </c>
      <c r="H7" s="23"/>
      <c r="I7" s="23"/>
      <c r="J7" s="19">
        <v>7327</v>
      </c>
      <c r="K7" s="19" t="e">
        <f t="shared" ref="K7:K12" si="2">J6*F6*G6</f>
        <v>#VALUE!</v>
      </c>
      <c r="L7" s="19">
        <v>0</v>
      </c>
      <c r="M7" s="28">
        <v>2404</v>
      </c>
      <c r="N7" s="28">
        <v>2404</v>
      </c>
      <c r="O7" s="28">
        <v>2404</v>
      </c>
      <c r="P7" s="28">
        <v>115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8" ht="15.5" customHeight="1">
      <c r="A8" s="26" t="s">
        <v>471</v>
      </c>
      <c r="B8" s="26" t="s">
        <v>472</v>
      </c>
      <c r="C8" s="26"/>
      <c r="D8" s="19" t="s">
        <v>485</v>
      </c>
      <c r="E8" s="27" t="s">
        <v>474</v>
      </c>
      <c r="F8" s="26">
        <v>26</v>
      </c>
      <c r="G8" s="26">
        <v>8</v>
      </c>
      <c r="H8" s="23"/>
      <c r="I8" s="23"/>
      <c r="J8" s="19">
        <v>4000</v>
      </c>
      <c r="K8" s="19">
        <f t="shared" si="2"/>
        <v>1524016</v>
      </c>
      <c r="L8" s="19">
        <v>0</v>
      </c>
      <c r="M8" s="28"/>
      <c r="N8" s="28"/>
      <c r="O8" s="28"/>
      <c r="P8" s="28">
        <v>2289</v>
      </c>
      <c r="Q8" s="28"/>
      <c r="R8" s="28">
        <v>1711</v>
      </c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8" ht="15.5" customHeight="1">
      <c r="A9" s="26" t="s">
        <v>486</v>
      </c>
      <c r="B9" s="26" t="s">
        <v>472</v>
      </c>
      <c r="C9" s="26"/>
      <c r="D9" s="19" t="s">
        <v>487</v>
      </c>
      <c r="E9" s="27" t="s">
        <v>488</v>
      </c>
      <c r="F9" s="26">
        <v>26</v>
      </c>
      <c r="G9" s="26">
        <v>8</v>
      </c>
      <c r="H9" s="23"/>
      <c r="I9" s="23"/>
      <c r="J9" s="19">
        <v>8000</v>
      </c>
      <c r="K9" s="19">
        <f t="shared" si="2"/>
        <v>832000</v>
      </c>
      <c r="L9" s="19">
        <v>0</v>
      </c>
      <c r="M9" s="28"/>
      <c r="N9" s="28"/>
      <c r="O9" s="28"/>
      <c r="P9" s="28"/>
      <c r="Q9" s="28"/>
      <c r="R9" s="28">
        <v>693</v>
      </c>
      <c r="S9" s="28">
        <v>2404</v>
      </c>
      <c r="T9" s="28">
        <v>2404</v>
      </c>
      <c r="U9" s="28">
        <v>2404</v>
      </c>
      <c r="V9" s="28">
        <v>95</v>
      </c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8" ht="16" customHeight="1">
      <c r="A10" s="26" t="s">
        <v>489</v>
      </c>
      <c r="B10" s="26" t="s">
        <v>472</v>
      </c>
      <c r="C10" s="26"/>
      <c r="D10" s="19" t="s">
        <v>490</v>
      </c>
      <c r="E10" s="27" t="s">
        <v>491</v>
      </c>
      <c r="F10" s="26">
        <v>26</v>
      </c>
      <c r="G10" s="26">
        <v>8</v>
      </c>
      <c r="H10" s="23"/>
      <c r="I10" s="23"/>
      <c r="J10" s="19">
        <v>7000</v>
      </c>
      <c r="K10" s="19">
        <f t="shared" si="2"/>
        <v>1664000</v>
      </c>
      <c r="L10" s="19">
        <v>0</v>
      </c>
      <c r="M10" s="28"/>
      <c r="N10" s="28"/>
      <c r="O10" s="28"/>
      <c r="P10" s="28"/>
      <c r="Q10" s="28"/>
      <c r="R10" s="28"/>
      <c r="S10" s="28"/>
      <c r="T10" s="28"/>
      <c r="U10" s="28"/>
      <c r="V10" s="28">
        <v>2309</v>
      </c>
      <c r="W10" s="28">
        <v>2404</v>
      </c>
      <c r="X10" s="28"/>
      <c r="Y10" s="28">
        <v>2287</v>
      </c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</row>
    <row r="11" spans="1:68" ht="16" customHeight="1">
      <c r="A11" s="26" t="s">
        <v>471</v>
      </c>
      <c r="B11" s="26" t="s">
        <v>472</v>
      </c>
      <c r="C11" s="26"/>
      <c r="D11" s="19" t="s">
        <v>492</v>
      </c>
      <c r="E11" s="27" t="s">
        <v>474</v>
      </c>
      <c r="F11" s="26">
        <v>26</v>
      </c>
      <c r="G11" s="26">
        <v>8</v>
      </c>
      <c r="H11" s="23"/>
      <c r="I11" s="23"/>
      <c r="J11" s="19">
        <v>5000</v>
      </c>
      <c r="K11" s="19">
        <f t="shared" si="2"/>
        <v>1456000</v>
      </c>
      <c r="L11" s="19">
        <v>0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>
        <v>117</v>
      </c>
      <c r="Z11" s="28">
        <v>2404</v>
      </c>
      <c r="AA11" s="28">
        <v>2404</v>
      </c>
      <c r="AB11" s="28">
        <v>75</v>
      </c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8" ht="17" customHeight="1">
      <c r="A12" s="26" t="s">
        <v>486</v>
      </c>
      <c r="B12" s="26" t="s">
        <v>472</v>
      </c>
      <c r="C12" s="26"/>
      <c r="D12" s="19" t="s">
        <v>493</v>
      </c>
      <c r="E12" s="27" t="s">
        <v>488</v>
      </c>
      <c r="F12" s="26">
        <v>26</v>
      </c>
      <c r="G12" s="26">
        <v>8</v>
      </c>
      <c r="H12" s="23"/>
      <c r="I12" s="23"/>
      <c r="J12" s="19">
        <v>5000</v>
      </c>
      <c r="K12" s="19">
        <f t="shared" si="2"/>
        <v>1040000</v>
      </c>
      <c r="L12" s="19">
        <v>0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>
        <v>2329</v>
      </c>
      <c r="AC12" s="28">
        <v>2404</v>
      </c>
      <c r="AD12" s="28">
        <v>267</v>
      </c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</sheetData>
  <mergeCells count="3">
    <mergeCell ref="A1:H4"/>
    <mergeCell ref="I3:J4"/>
    <mergeCell ref="F5:G5"/>
  </mergeCells>
  <phoneticPr fontId="19" type="noConversion"/>
  <conditionalFormatting sqref="D12">
    <cfRule type="cellIs" dxfId="31" priority="63" stopIfTrue="1" operator="equal">
      <formula>"C-B&gt;10"</formula>
    </cfRule>
    <cfRule type="cellIs" dxfId="30" priority="64" stopIfTrue="1" operator="equal">
      <formula>"C-B&gt;30"</formula>
    </cfRule>
  </conditionalFormatting>
  <conditionalFormatting sqref="D13">
    <cfRule type="cellIs" dxfId="29" priority="59" stopIfTrue="1" operator="equal">
      <formula>"C-B&gt;10"</formula>
    </cfRule>
    <cfRule type="cellIs" dxfId="28" priority="62" stopIfTrue="1" operator="equal">
      <formula>"C-B&gt;30"</formula>
    </cfRule>
  </conditionalFormatting>
  <conditionalFormatting sqref="D14">
    <cfRule type="cellIs" dxfId="27" priority="58" stopIfTrue="1" operator="equal">
      <formula>"C-B&gt;10"</formula>
    </cfRule>
    <cfRule type="cellIs" dxfId="26" priority="61" stopIfTrue="1" operator="equal">
      <formula>"C-B&gt;30"</formula>
    </cfRule>
  </conditionalFormatting>
  <conditionalFormatting sqref="D15">
    <cfRule type="cellIs" dxfId="25" priority="57" stopIfTrue="1" operator="equal">
      <formula>"C-B&gt;10"</formula>
    </cfRule>
    <cfRule type="cellIs" dxfId="24" priority="60" stopIfTrue="1" operator="equal">
      <formula>"C-B&gt;30"</formula>
    </cfRule>
  </conditionalFormatting>
  <conditionalFormatting sqref="D6:D9">
    <cfRule type="cellIs" dxfId="23" priority="9" stopIfTrue="1" operator="equal">
      <formula>"C-B&gt;10"</formula>
    </cfRule>
    <cfRule type="cellIs" dxfId="22" priority="10" stopIfTrue="1" operator="equal">
      <formula>"C-B&gt;30"</formula>
    </cfRule>
  </conditionalFormatting>
  <conditionalFormatting sqref="D10:D11">
    <cfRule type="cellIs" dxfId="21" priority="2" stopIfTrue="1" operator="equal">
      <formula>"C-B&gt;30"</formula>
    </cfRule>
    <cfRule type="cellIs" dxfId="20" priority="1" stopIfTrue="1" operator="equal">
      <formula>"C-B&gt;10"</formula>
    </cfRule>
  </conditionalFormatting>
  <dataValidations count="1">
    <dataValidation type="list" allowBlank="1" showInputMessage="1" showErrorMessage="1" sqref="M2:BP2" xr:uid="{00000000-0002-0000-0E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BP17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9.83203125" style="91" customWidth="1"/>
    <col min="3" max="3" width="4.83203125" style="91" customWidth="1"/>
    <col min="4" max="4" width="21.1640625" style="91" customWidth="1"/>
    <col min="5" max="5" width="48.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7" style="91" customWidth="1"/>
    <col min="13" max="20" width="9" style="91" customWidth="1"/>
    <col min="21" max="23" width="10.1640625" style="91" customWidth="1"/>
    <col min="24" max="68" width="9" style="91" customWidth="1"/>
  </cols>
  <sheetData>
    <row r="1" spans="1:68" s="1" customFormat="1" ht="16.25" customHeight="1">
      <c r="A1" s="99" t="s">
        <v>136</v>
      </c>
      <c r="B1" s="100"/>
      <c r="C1" s="100"/>
      <c r="D1" s="100"/>
      <c r="E1" s="100"/>
      <c r="F1" s="100"/>
      <c r="G1" s="100"/>
      <c r="H1" s="100"/>
      <c r="I1" s="4" t="s">
        <v>1</v>
      </c>
      <c r="J1" s="4">
        <v>308550</v>
      </c>
      <c r="K1" s="5" t="s">
        <v>2</v>
      </c>
      <c r="L1" s="6"/>
    </row>
    <row r="2" spans="1:68" s="1" customFormat="1" ht="16.25" customHeight="1">
      <c r="A2" s="100"/>
      <c r="B2" s="100"/>
      <c r="C2" s="100"/>
      <c r="D2" s="100"/>
      <c r="E2" s="100"/>
      <c r="F2" s="100"/>
      <c r="G2" s="100"/>
      <c r="H2" s="100"/>
      <c r="I2" s="4" t="s">
        <v>3</v>
      </c>
      <c r="J2" s="4">
        <v>561000</v>
      </c>
      <c r="K2" s="5" t="s">
        <v>137</v>
      </c>
      <c r="L2" s="7" t="e">
        <f>SUM(#REF!)</f>
        <v>#REF!</v>
      </c>
      <c r="M2" s="8" t="s">
        <v>5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</row>
    <row r="3" spans="1:68" s="1" customFormat="1" ht="17" customHeight="1">
      <c r="A3" s="100"/>
      <c r="B3" s="100"/>
      <c r="C3" s="100"/>
      <c r="D3" s="100"/>
      <c r="E3" s="100"/>
      <c r="F3" s="100"/>
      <c r="G3" s="100"/>
      <c r="H3" s="100"/>
      <c r="I3" s="101"/>
      <c r="J3" s="102"/>
      <c r="M3" t="e">
        <f>MAX(0,SUM(IF(FREQUENCY(IF((M7:M17&gt;0)*($G7:$G17&lt;&gt;""),MATCH($G7:$G17,$G7:$G17,0)),ROW($G7:$G17)-ROW($G7)+1)&gt;0,1))-1)*IF(M2="双",VLOOKUP($A$1,换码设置!$A:$C,2,FALSE),IF(M2="单",VLOOKUP($A$1,换码设置!$A:$C,3,FALSE),0))</f>
        <v>#VALUE!</v>
      </c>
      <c r="N3" t="e">
        <f>MAX(0,SUM(IF(FREQUENCY(IF((N7:N17&gt;0)*($G7:$G17&lt;&gt;""),MATCH($G7:$G17,$G7:$G17,0)),ROW($G7:$G17)-ROW($G7)+1)&gt;0,1))-1)*IF(N2="双",VLOOKUP($A$1,换码设置!$A:$C,2,FALSE),IF(N2="单",VLOOKUP($A$1,换码设置!$A:$C,3,FALSE),0))</f>
        <v>#VALUE!</v>
      </c>
      <c r="O3" t="e">
        <f>MAX(0,SUM(IF(FREQUENCY(IF((O7:O17&gt;0)*($G7:$G17&lt;&gt;""),MATCH($G7:$G17,$G7:$G17,0)),ROW($G7:$G17)-ROW($G7)+1)&gt;0,1))-1)*IF(O2="双",VLOOKUP($A$1,换码设置!$A:$C,2,FALSE),IF(O2="单",VLOOKUP($A$1,换码设置!$A:$C,3,FALSE),0))</f>
        <v>#VALUE!</v>
      </c>
      <c r="P3" t="e">
        <f>MAX(0,SUM(IF(FREQUENCY(IF((P7:P17&gt;0)*($G7:$G17&lt;&gt;""),MATCH($G7:$G17,$G7:$G17,0)),ROW($G7:$G17)-ROW($G7)+1)&gt;0,1))-1)*IF(P2="双",VLOOKUP($A$1,换码设置!$A:$C,2,FALSE),IF(P2="单",VLOOKUP($A$1,换码设置!$A:$C,3,FALSE),0))</f>
        <v>#VALUE!</v>
      </c>
      <c r="Q3" t="e">
        <f>MAX(0,SUM(IF(FREQUENCY(IF((Q7:Q17&gt;0)*($G7:$G17&lt;&gt;""),MATCH($G7:$G17,$G7:$G17,0)),ROW($G7:$G17)-ROW($G7)+1)&gt;0,1))-1)*IF(Q2="双",VLOOKUP($A$1,换码设置!$A:$C,2,FALSE),IF(Q2="单",VLOOKUP($A$1,换码设置!$A:$C,3,FALSE),0))</f>
        <v>#VALUE!</v>
      </c>
      <c r="R3" t="e">
        <f>MAX(0,SUM(IF(FREQUENCY(IF((R7:R17&gt;0)*($G7:$G17&lt;&gt;""),MATCH($G7:$G17,$G7:$G17,0)),ROW($G7:$G17)-ROW($G7)+1)&gt;0,1))-1)*IF(R2="双",VLOOKUP($A$1,换码设置!$A:$C,2,FALSE),IF(R2="单",VLOOKUP($A$1,换码设置!$A:$C,3,FALSE),0))</f>
        <v>#VALUE!</v>
      </c>
      <c r="S3" t="e">
        <f>MAX(0,SUM(IF(FREQUENCY(IF((S7:S17&gt;0)*($G7:$G17&lt;&gt;""),MATCH($G7:$G17,$G7:$G17,0)),ROW($G7:$G17)-ROW($G7)+1)&gt;0,1))-1)*IF(S2="双",VLOOKUP($A$1,换码设置!$A:$C,2,FALSE),IF(S2="单",VLOOKUP($A$1,换码设置!$A:$C,3,FALSE),0))</f>
        <v>#VALUE!</v>
      </c>
      <c r="T3" t="e">
        <f>MAX(0,SUM(IF(FREQUENCY(IF((T7:T17&gt;0)*($G7:$G17&lt;&gt;""),MATCH($G7:$G17,$G7:$G17,0)),ROW($G7:$G17)-ROW($G7)+1)&gt;0,1))-1)*IF(T2="双",VLOOKUP($A$1,换码设置!$A:$C,2,FALSE),IF(T2="单",VLOOKUP($A$1,换码设置!$A:$C,3,FALSE),0))</f>
        <v>#VALUE!</v>
      </c>
      <c r="U3" t="e">
        <f>MAX(0,SUM(IF(FREQUENCY(IF((U7:U17&gt;0)*($G7:$G17&lt;&gt;""),MATCH($G7:$G17,$G7:$G17,0)),ROW($G7:$G17)-ROW($G7)+1)&gt;0,1))-1)*IF(U2="双",VLOOKUP($A$1,换码设置!$A:$C,2,FALSE),IF(U2="单",VLOOKUP($A$1,换码设置!$A:$C,3,FALSE),0))</f>
        <v>#VALUE!</v>
      </c>
      <c r="V3" t="e">
        <f>MAX(0,SUM(IF(FREQUENCY(IF((V7:V17&gt;0)*($G7:$G17&lt;&gt;""),MATCH($G7:$G17,$G7:$G17,0)),ROW($G7:$G17)-ROW($G7)+1)&gt;0,1))-1)*IF(V2="双",VLOOKUP($A$1,换码设置!$A:$C,2,FALSE),IF(V2="单",VLOOKUP($A$1,换码设置!$A:$C,3,FALSE),0))</f>
        <v>#VALUE!</v>
      </c>
      <c r="W3" t="e">
        <f>MAX(0,SUM(IF(FREQUENCY(IF((W7:W17&gt;0)*($G7:$G17&lt;&gt;""),MATCH($G7:$G17,$G7:$G17,0)),ROW($G7:$G17)-ROW($G7)+1)&gt;0,1))-1)*IF(W2="双",VLOOKUP($A$1,换码设置!$A:$C,2,FALSE),IF(W2="单",VLOOKUP($A$1,换码设置!$A:$C,3,FALSE),0))</f>
        <v>#VALUE!</v>
      </c>
      <c r="X3" t="e">
        <f>MAX(0,SUM(IF(FREQUENCY(IF((X7:X17&gt;0)*($G7:$G17&lt;&gt;""),MATCH($G7:$G17,$G7:$G17,0)),ROW($G7:$G17)-ROW($G7)+1)&gt;0,1))-1)*IF(X2="双",VLOOKUP($A$1,换码设置!$A:$C,2,FALSE),IF(X2="单",VLOOKUP($A$1,换码设置!$A:$C,3,FALSE),0))</f>
        <v>#VALUE!</v>
      </c>
      <c r="Y3" t="e">
        <f>MAX(0,SUM(IF(FREQUENCY(IF((Y7:Y17&gt;0)*($G7:$G17&lt;&gt;""),MATCH($G7:$G17,$G7:$G17,0)),ROW($G7:$G17)-ROW($G7)+1)&gt;0,1))-1)*IF(Y2="双",VLOOKUP($A$1,换码设置!$A:$C,2,FALSE),IF(Y2="单",VLOOKUP($A$1,换码设置!$A:$C,3,FALSE),0))</f>
        <v>#VALUE!</v>
      </c>
      <c r="Z3" t="e">
        <f>MAX(0,SUM(IF(FREQUENCY(IF((Z7:Z17&gt;0)*($G7:$G17&lt;&gt;""),MATCH($G7:$G17,$G7:$G17,0)),ROW($G7:$G17)-ROW($G7)+1)&gt;0,1))-1)*IF(Z2="双",VLOOKUP($A$1,换码设置!$A:$C,2,FALSE),IF(Z2="单",VLOOKUP($A$1,换码设置!$A:$C,3,FALSE),0))</f>
        <v>#VALUE!</v>
      </c>
      <c r="AA3" t="e">
        <f>MAX(0,SUM(IF(FREQUENCY(IF((AA7:AA17&gt;0)*($G7:$G17&lt;&gt;""),MATCH($G7:$G17,$G7:$G17,0)),ROW($G7:$G17)-ROW($G7)+1)&gt;0,1))-1)*IF(AA2="双",VLOOKUP($A$1,换码设置!$A:$C,2,FALSE),IF(AA2="单",VLOOKUP($A$1,换码设置!$A:$C,3,FALSE),0))</f>
        <v>#VALUE!</v>
      </c>
      <c r="AB3" t="e">
        <f>MAX(0,SUM(IF(FREQUENCY(IF((AB7:AB17&gt;0)*($G7:$G17&lt;&gt;""),MATCH($G7:$G17,$G7:$G17,0)),ROW($G7:$G17)-ROW($G7)+1)&gt;0,1))-1)*IF(AB2="双",VLOOKUP($A$1,换码设置!$A:$C,2,FALSE),IF(AB2="单",VLOOKUP($A$1,换码设置!$A:$C,3,FALSE),0))</f>
        <v>#VALUE!</v>
      </c>
      <c r="AC3" t="e">
        <f>MAX(0,SUM(IF(FREQUENCY(IF((AC7:AC17&gt;0)*($G7:$G17&lt;&gt;""),MATCH($G7:$G17,$G7:$G17,0)),ROW($G7:$G17)-ROW($G7)+1)&gt;0,1))-1)*IF(AC2="双",VLOOKUP($A$1,换码设置!$A:$C,2,FALSE),IF(AC2="单",VLOOKUP($A$1,换码设置!$A:$C,3,FALSE),0))</f>
        <v>#VALUE!</v>
      </c>
      <c r="AD3" t="e">
        <f>MAX(0,SUM(IF(FREQUENCY(IF((AD7:AD17&gt;0)*($G7:$G17&lt;&gt;""),MATCH($G7:$G17,$G7:$G17,0)),ROW($G7:$G17)-ROW($G7)+1)&gt;0,1))-1)*IF(AD2="双",VLOOKUP($A$1,换码设置!$A:$C,2,FALSE),IF(AD2="单",VLOOKUP($A$1,换码设置!$A:$C,3,FALSE),0))</f>
        <v>#VALUE!</v>
      </c>
      <c r="AE3" t="e">
        <f>MAX(0,SUM(IF(FREQUENCY(IF((AE7:AE17&gt;0)*($G7:$G17&lt;&gt;""),MATCH($G7:$G17,$G7:$G17,0)),ROW($G7:$G17)-ROW($G7)+1)&gt;0,1))-1)*IF(AE2="双",VLOOKUP($A$1,换码设置!$A:$C,2,FALSE),IF(AE2="单",VLOOKUP($A$1,换码设置!$A:$C,3,FALSE),0))</f>
        <v>#VALUE!</v>
      </c>
      <c r="AF3" t="e">
        <f>MAX(0,SUM(IF(FREQUENCY(IF((AF7:AF17&gt;0)*($G7:$G17&lt;&gt;""),MATCH($G7:$G17,$G7:$G17,0)),ROW($G7:$G17)-ROW($G7)+1)&gt;0,1))-1)*IF(AF2="双",VLOOKUP($A$1,换码设置!$A:$C,2,FALSE),IF(AF2="单",VLOOKUP($A$1,换码设置!$A:$C,3,FALSE),0))</f>
        <v>#VALUE!</v>
      </c>
      <c r="AG3" t="e">
        <f>MAX(0,SUM(IF(FREQUENCY(IF((AG7:AG17&gt;0)*($G7:$G17&lt;&gt;""),MATCH($G7:$G17,$G7:$G17,0)),ROW($G7:$G17)-ROW($G7)+1)&gt;0,1))-1)*IF(AG2="双",VLOOKUP($A$1,换码设置!$A:$C,2,FALSE),IF(AG2="单",VLOOKUP($A$1,换码设置!$A:$C,3,FALSE),0))</f>
        <v>#VALUE!</v>
      </c>
      <c r="AH3" t="e">
        <f>MAX(0,SUM(IF(FREQUENCY(IF((AH7:AH17&gt;0)*($G7:$G17&lt;&gt;""),MATCH($G7:$G17,$G7:$G17,0)),ROW($G7:$G17)-ROW($G7)+1)&gt;0,1))-1)*IF(AH2="双",VLOOKUP($A$1,换码设置!$A:$C,2,FALSE),IF(AH2="单",VLOOKUP($A$1,换码设置!$A:$C,3,FALSE),0))</f>
        <v>#VALUE!</v>
      </c>
      <c r="AI3" t="e">
        <f>MAX(0,SUM(IF(FREQUENCY(IF((AI7:AI17&gt;0)*($G7:$G17&lt;&gt;""),MATCH($G7:$G17,$G7:$G17,0)),ROW($G7:$G17)-ROW($G7)+1)&gt;0,1))-1)*IF(AI2="双",VLOOKUP($A$1,换码设置!$A:$C,2,FALSE),IF(AI2="单",VLOOKUP($A$1,换码设置!$A:$C,3,FALSE),0))</f>
        <v>#VALUE!</v>
      </c>
      <c r="AJ3" t="e">
        <f>MAX(0,SUM(IF(FREQUENCY(IF((AJ7:AJ17&gt;0)*($G7:$G17&lt;&gt;""),MATCH($G7:$G17,$G7:$G17,0)),ROW($G7:$G17)-ROW($G7)+1)&gt;0,1))-1)*IF(AJ2="双",VLOOKUP($A$1,换码设置!$A:$C,2,FALSE),IF(AJ2="单",VLOOKUP($A$1,换码设置!$A:$C,3,FALSE),0))</f>
        <v>#VALUE!</v>
      </c>
      <c r="AK3" t="e">
        <f>MAX(0,SUM(IF(FREQUENCY(IF((AK7:AK17&gt;0)*($G7:$G17&lt;&gt;""),MATCH($G7:$G17,$G7:$G17,0)),ROW($G7:$G17)-ROW($G7)+1)&gt;0,1))-1)*IF(AK2="双",VLOOKUP($A$1,换码设置!$A:$C,2,FALSE),IF(AK2="单",VLOOKUP($A$1,换码设置!$A:$C,3,FALSE),0))</f>
        <v>#VALUE!</v>
      </c>
      <c r="AL3" t="e">
        <f>MAX(0,SUM(IF(FREQUENCY(IF((AL7:AL17&gt;0)*($G7:$G17&lt;&gt;""),MATCH($G7:$G17,$G7:$G17,0)),ROW($G7:$G17)-ROW($G7)+1)&gt;0,1))-1)*IF(AL2="双",VLOOKUP($A$1,换码设置!$A:$C,2,FALSE),IF(AL2="单",VLOOKUP($A$1,换码设置!$A:$C,3,FALSE),0))</f>
        <v>#VALUE!</v>
      </c>
      <c r="AM3" t="e">
        <f>MAX(0,SUM(IF(FREQUENCY(IF((AM7:AM17&gt;0)*($G7:$G17&lt;&gt;""),MATCH($G7:$G17,$G7:$G17,0)),ROW($G7:$G17)-ROW($G7)+1)&gt;0,1))-1)*IF(AM2="双",VLOOKUP($A$1,换码设置!$A:$C,2,FALSE),IF(AM2="单",VLOOKUP($A$1,换码设置!$A:$C,3,FALSE),0))</f>
        <v>#VALUE!</v>
      </c>
      <c r="AN3" t="e">
        <f>MAX(0,SUM(IF(FREQUENCY(IF((AN7:AN17&gt;0)*($G7:$G17&lt;&gt;""),MATCH($G7:$G17,$G7:$G17,0)),ROW($G7:$G17)-ROW($G7)+1)&gt;0,1))-1)*IF(AN2="双",VLOOKUP($A$1,换码设置!$A:$C,2,FALSE),IF(AN2="单",VLOOKUP($A$1,换码设置!$A:$C,3,FALSE),0))</f>
        <v>#VALUE!</v>
      </c>
      <c r="AO3" t="e">
        <f>MAX(0,SUM(IF(FREQUENCY(IF((AO7:AO17&gt;0)*($G7:$G17&lt;&gt;""),MATCH($G7:$G17,$G7:$G17,0)),ROW($G7:$G17)-ROW($G7)+1)&gt;0,1))-1)*IF(AO2="双",VLOOKUP($A$1,换码设置!$A:$C,2,FALSE),IF(AO2="单",VLOOKUP($A$1,换码设置!$A:$C,3,FALSE),0))</f>
        <v>#VALUE!</v>
      </c>
      <c r="AP3" t="e">
        <f>MAX(0,SUM(IF(FREQUENCY(IF((AP7:AP17&gt;0)*($G7:$G17&lt;&gt;""),MATCH($G7:$G17,$G7:$G17,0)),ROW($G7:$G17)-ROW($G7)+1)&gt;0,1))-1)*IF(AP2="双",VLOOKUP($A$1,换码设置!$A:$C,2,FALSE),IF(AP2="单",VLOOKUP($A$1,换码设置!$A:$C,3,FALSE),0))</f>
        <v>#VALUE!</v>
      </c>
      <c r="AQ3" t="e">
        <f>MAX(0,SUM(IF(FREQUENCY(IF((AQ7:AQ17&gt;0)*($G7:$G17&lt;&gt;""),MATCH($G7:$G17,$G7:$G17,0)),ROW($G7:$G17)-ROW($G7)+1)&gt;0,1))-1)*IF(AQ2="双",VLOOKUP($A$1,换码设置!$A:$C,2,FALSE),IF(AQ2="单",VLOOKUP($A$1,换码设置!$A:$C,3,FALSE),0))</f>
        <v>#VALUE!</v>
      </c>
      <c r="AR3" t="e">
        <f>MAX(0,SUM(IF(FREQUENCY(IF((AR7:AR17&gt;0)*($G7:$G17&lt;&gt;""),MATCH($G7:$G17,$G7:$G17,0)),ROW($G7:$G17)-ROW($G7)+1)&gt;0,1))-1)*IF(AR2="双",VLOOKUP($A$1,换码设置!$A:$C,2,FALSE),IF(AR2="单",VLOOKUP($A$1,换码设置!$A:$C,3,FALSE),0))</f>
        <v>#VALUE!</v>
      </c>
      <c r="AS3" t="e">
        <f>MAX(0,SUM(IF(FREQUENCY(IF((AS7:AS17&gt;0)*($G7:$G17&lt;&gt;""),MATCH($G7:$G17,$G7:$G17,0)),ROW($G7:$G17)-ROW($G7)+1)&gt;0,1))-1)*IF(AS2="双",VLOOKUP($A$1,换码设置!$A:$C,2,FALSE),IF(AS2="单",VLOOKUP($A$1,换码设置!$A:$C,3,FALSE),0))</f>
        <v>#VALUE!</v>
      </c>
      <c r="AT3" t="e">
        <f>MAX(0,SUM(IF(FREQUENCY(IF((AT7:AT17&gt;0)*($G7:$G17&lt;&gt;""),MATCH($G7:$G17,$G7:$G17,0)),ROW($G7:$G17)-ROW($G7)+1)&gt;0,1))-1)*IF(AT2="双",VLOOKUP($A$1,换码设置!$A:$C,2,FALSE),IF(AT2="单",VLOOKUP($A$1,换码设置!$A:$C,3,FALSE),0))</f>
        <v>#VALUE!</v>
      </c>
      <c r="AU3" t="e">
        <f>MAX(0,SUM(IF(FREQUENCY(IF((AU7:AU17&gt;0)*($G7:$G17&lt;&gt;""),MATCH($G7:$G17,$G7:$G17,0)),ROW($G7:$G17)-ROW($G7)+1)&gt;0,1))-1)*IF(AU2="双",VLOOKUP($A$1,换码设置!$A:$C,2,FALSE),IF(AU2="单",VLOOKUP($A$1,换码设置!$A:$C,3,FALSE),0))</f>
        <v>#VALUE!</v>
      </c>
      <c r="AV3" t="e">
        <f>MAX(0,SUM(IF(FREQUENCY(IF((AV7:AV17&gt;0)*($G7:$G17&lt;&gt;""),MATCH($G7:$G17,$G7:$G17,0)),ROW($G7:$G17)-ROW($G7)+1)&gt;0,1))-1)*IF(AV2="双",VLOOKUP($A$1,换码设置!$A:$C,2,FALSE),IF(AV2="单",VLOOKUP($A$1,换码设置!$A:$C,3,FALSE),0))</f>
        <v>#VALUE!</v>
      </c>
      <c r="AW3" t="e">
        <f>MAX(0,SUM(IF(FREQUENCY(IF((AW7:AW17&gt;0)*($G7:$G17&lt;&gt;""),MATCH($G7:$G17,$G7:$G17,0)),ROW($G7:$G17)-ROW($G7)+1)&gt;0,1))-1)*IF(AW2="双",VLOOKUP($A$1,换码设置!$A:$C,2,FALSE),IF(AW2="单",VLOOKUP($A$1,换码设置!$A:$C,3,FALSE),0))</f>
        <v>#VALUE!</v>
      </c>
      <c r="AX3" t="e">
        <f>MAX(0,SUM(IF(FREQUENCY(IF((AX7:AX17&gt;0)*($G7:$G17&lt;&gt;""),MATCH($G7:$G17,$G7:$G17,0)),ROW($G7:$G17)-ROW($G7)+1)&gt;0,1))-1)*IF(AX2="双",VLOOKUP($A$1,换码设置!$A:$C,2,FALSE),IF(AX2="单",VLOOKUP($A$1,换码设置!$A:$C,3,FALSE),0))</f>
        <v>#VALUE!</v>
      </c>
      <c r="AY3" t="e">
        <f>MAX(0,SUM(IF(FREQUENCY(IF((AY7:AY17&gt;0)*($G7:$G17&lt;&gt;""),MATCH($G7:$G17,$G7:$G17,0)),ROW($G7:$G17)-ROW($G7)+1)&gt;0,1))-1)*IF(AY2="双",VLOOKUP($A$1,换码设置!$A:$C,2,FALSE),IF(AY2="单",VLOOKUP($A$1,换码设置!$A:$C,3,FALSE),0))</f>
        <v>#VALUE!</v>
      </c>
      <c r="AZ3" t="e">
        <f>MAX(0,SUM(IF(FREQUENCY(IF((AZ7:AZ17&gt;0)*($G7:$G17&lt;&gt;""),MATCH($G7:$G17,$G7:$G17,0)),ROW($G7:$G17)-ROW($G7)+1)&gt;0,1))-1)*IF(AZ2="双",VLOOKUP($A$1,换码设置!$A:$C,2,FALSE),IF(AZ2="单",VLOOKUP($A$1,换码设置!$A:$C,3,FALSE),0))</f>
        <v>#VALUE!</v>
      </c>
      <c r="BA3" t="e">
        <f>MAX(0,SUM(IF(FREQUENCY(IF((BA7:BA17&gt;0)*($G7:$G17&lt;&gt;""),MATCH($G7:$G17,$G7:$G17,0)),ROW($G7:$G17)-ROW($G7)+1)&gt;0,1))-1)*IF(BA2="双",VLOOKUP($A$1,换码设置!$A:$C,2,FALSE),IF(BA2="单",VLOOKUP($A$1,换码设置!$A:$C,3,FALSE),0))</f>
        <v>#VALUE!</v>
      </c>
      <c r="BB3" t="e">
        <f>MAX(0,SUM(IF(FREQUENCY(IF((BB7:BB17&gt;0)*($G7:$G17&lt;&gt;""),MATCH($G7:$G17,$G7:$G17,0)),ROW($G7:$G17)-ROW($G7)+1)&gt;0,1))-1)*IF(BB2="双",VLOOKUP($A$1,换码设置!$A:$C,2,FALSE),IF(BB2="单",VLOOKUP($A$1,换码设置!$A:$C,3,FALSE),0))</f>
        <v>#VALUE!</v>
      </c>
      <c r="BC3" t="e">
        <f>MAX(0,SUM(IF(FREQUENCY(IF((BC7:BC17&gt;0)*($G7:$G17&lt;&gt;""),MATCH($G7:$G17,$G7:$G17,0)),ROW($G7:$G17)-ROW($G7)+1)&gt;0,1))-1)*IF(BC2="双",VLOOKUP($A$1,换码设置!$A:$C,2,FALSE),IF(BC2="单",VLOOKUP($A$1,换码设置!$A:$C,3,FALSE),0))</f>
        <v>#VALUE!</v>
      </c>
      <c r="BD3" t="e">
        <f>MAX(0,SUM(IF(FREQUENCY(IF((BD7:BD17&gt;0)*($G7:$G17&lt;&gt;""),MATCH($G7:$G17,$G7:$G17,0)),ROW($G7:$G17)-ROW($G7)+1)&gt;0,1))-1)*IF(BD2="双",VLOOKUP($A$1,换码设置!$A:$C,2,FALSE),IF(BD2="单",VLOOKUP($A$1,换码设置!$A:$C,3,FALSE),0))</f>
        <v>#VALUE!</v>
      </c>
      <c r="BE3" t="e">
        <f>MAX(0,SUM(IF(FREQUENCY(IF((BE7:BE17&gt;0)*($G7:$G17&lt;&gt;""),MATCH($G7:$G17,$G7:$G17,0)),ROW($G7:$G17)-ROW($G7)+1)&gt;0,1))-1)*IF(BE2="双",VLOOKUP($A$1,换码设置!$A:$C,2,FALSE),IF(BE2="单",VLOOKUP($A$1,换码设置!$A:$C,3,FALSE),0))</f>
        <v>#VALUE!</v>
      </c>
      <c r="BF3" t="e">
        <f>MAX(0,SUM(IF(FREQUENCY(IF((BF7:BF17&gt;0)*($G7:$G17&lt;&gt;""),MATCH($G7:$G17,$G7:$G17,0)),ROW($G7:$G17)-ROW($G7)+1)&gt;0,1))-1)*IF(BF2="双",VLOOKUP($A$1,换码设置!$A:$C,2,FALSE),IF(BF2="单",VLOOKUP($A$1,换码设置!$A:$C,3,FALSE),0))</f>
        <v>#VALUE!</v>
      </c>
      <c r="BG3" t="e">
        <f>MAX(0,SUM(IF(FREQUENCY(IF((BG7:BG17&gt;0)*($G7:$G17&lt;&gt;""),MATCH($G7:$G17,$G7:$G17,0)),ROW($G7:$G17)-ROW($G7)+1)&gt;0,1))-1)*IF(BG2="双",VLOOKUP($A$1,换码设置!$A:$C,2,FALSE),IF(BG2="单",VLOOKUP($A$1,换码设置!$A:$C,3,FALSE),0))</f>
        <v>#VALUE!</v>
      </c>
      <c r="BH3" t="e">
        <f>MAX(0,SUM(IF(FREQUENCY(IF((BH7:BH17&gt;0)*($G7:$G17&lt;&gt;""),MATCH($G7:$G17,$G7:$G17,0)),ROW($G7:$G17)-ROW($G7)+1)&gt;0,1))-1)*IF(BH2="双",VLOOKUP($A$1,换码设置!$A:$C,2,FALSE),IF(BH2="单",VLOOKUP($A$1,换码设置!$A:$C,3,FALSE),0))</f>
        <v>#VALUE!</v>
      </c>
      <c r="BI3" t="e">
        <f>MAX(0,SUM(IF(FREQUENCY(IF((BI7:BI17&gt;0)*($G7:$G17&lt;&gt;""),MATCH($G7:$G17,$G7:$G17,0)),ROW($G7:$G17)-ROW($G7)+1)&gt;0,1))-1)*IF(BI2="双",VLOOKUP($A$1,换码设置!$A:$C,2,FALSE),IF(BI2="单",VLOOKUP($A$1,换码设置!$A:$C,3,FALSE),0))</f>
        <v>#VALUE!</v>
      </c>
      <c r="BJ3" t="e">
        <f>MAX(0,SUM(IF(FREQUENCY(IF((BJ7:BJ17&gt;0)*($G7:$G17&lt;&gt;""),MATCH($G7:$G17,$G7:$G17,0)),ROW($G7:$G17)-ROW($G7)+1)&gt;0,1))-1)*IF(BJ2="双",VLOOKUP($A$1,换码设置!$A:$C,2,FALSE),IF(BJ2="单",VLOOKUP($A$1,换码设置!$A:$C,3,FALSE),0))</f>
        <v>#VALUE!</v>
      </c>
      <c r="BK3" t="e">
        <f>MAX(0,SUM(IF(FREQUENCY(IF((BK7:BK17&gt;0)*($G7:$G17&lt;&gt;""),MATCH($G7:$G17,$G7:$G17,0)),ROW($G7:$G17)-ROW($G7)+1)&gt;0,1))-1)*IF(BK2="双",VLOOKUP($A$1,换码设置!$A:$C,2,FALSE),IF(BK2="单",VLOOKUP($A$1,换码设置!$A:$C,3,FALSE),0))</f>
        <v>#VALUE!</v>
      </c>
      <c r="BL3" t="e">
        <f>MAX(0,SUM(IF(FREQUENCY(IF((BL7:BL17&gt;0)*($G7:$G17&lt;&gt;""),MATCH($G7:$G17,$G7:$G17,0)),ROW($G7:$G17)-ROW($G7)+1)&gt;0,1))-1)*IF(BL2="双",VLOOKUP($A$1,换码设置!$A:$C,2,FALSE),IF(BL2="单",VLOOKUP($A$1,换码设置!$A:$C,3,FALSE),0))</f>
        <v>#VALUE!</v>
      </c>
      <c r="BM3" t="e">
        <f>MAX(0,SUM(IF(FREQUENCY(IF((BM7:BM17&gt;0)*($G7:$G17&lt;&gt;""),MATCH($G7:$G17,$G7:$G17,0)),ROW($G7:$G17)-ROW($G7)+1)&gt;0,1))-1)*IF(BM2="双",VLOOKUP($A$1,换码设置!$A:$C,2,FALSE),IF(BM2="单",VLOOKUP($A$1,换码设置!$A:$C,3,FALSE),0))</f>
        <v>#VALUE!</v>
      </c>
      <c r="BN3" t="e">
        <f>MAX(0,SUM(IF(FREQUENCY(IF((BN7:BN17&gt;0)*($G7:$G17&lt;&gt;""),MATCH($G7:$G17,$G7:$G17,0)),ROW($G7:$G17)-ROW($G7)+1)&gt;0,1))-1)*IF(BN2="双",VLOOKUP($A$1,换码设置!$A:$C,2,FALSE),IF(BN2="单",VLOOKUP($A$1,换码设置!$A:$C,3,FALSE),0))</f>
        <v>#VALUE!</v>
      </c>
      <c r="BO3" t="e">
        <f>MAX(0,SUM(IF(FREQUENCY(IF((BO7:BO17&gt;0)*($G7:$G17&lt;&gt;""),MATCH($G7:$G17,$G7:$G17,0)),ROW($G7:$G17)-ROW($G7)+1)&gt;0,1))-1)*IF(BO2="双",VLOOKUP($A$1,换码设置!$A:$C,2,FALSE),IF(BO2="单",VLOOKUP($A$1,换码设置!$A:$C,3,FALSE),0))</f>
        <v>#VALUE!</v>
      </c>
      <c r="BP3" t="e">
        <f>MAX(0,SUM(IF(FREQUENCY(IF((BP7:BP17&gt;0)*($G7:$G17&lt;&gt;""),MATCH($G7:$G17,$G7:$G17,0)),ROW($G7:$G17)-ROW($G7)+1)&gt;0,1))-1)*IF(BP2="双",VLOOKUP($A$1,换码设置!$A:$C,2,FALSE),IF(BP2="单",VLOOKUP($A$1,换码设置!$A:$C,3,FALSE),0))</f>
        <v>#VALUE!</v>
      </c>
    </row>
    <row r="4" spans="1:68" s="1" customFormat="1" ht="17" customHeight="1">
      <c r="A4" s="100"/>
      <c r="B4" s="100"/>
      <c r="C4" s="100"/>
      <c r="D4" s="100"/>
      <c r="E4" s="100"/>
      <c r="F4" s="100"/>
      <c r="G4" s="100"/>
      <c r="H4" s="100"/>
      <c r="I4" s="100"/>
      <c r="J4" s="102"/>
      <c r="K4" s="5" t="s">
        <v>4</v>
      </c>
      <c r="L4" s="7" t="e">
        <f>SUM(M5:AL5)</f>
        <v>#VALUE!</v>
      </c>
      <c r="M4" s="8">
        <v>46148</v>
      </c>
      <c r="N4" s="8">
        <v>46149</v>
      </c>
      <c r="O4" s="8">
        <v>46150</v>
      </c>
      <c r="P4" s="8">
        <v>46151</v>
      </c>
      <c r="Q4" s="8">
        <v>46152</v>
      </c>
      <c r="R4" s="8">
        <v>46153</v>
      </c>
      <c r="S4" s="8">
        <v>46154</v>
      </c>
      <c r="T4" s="8">
        <v>46155</v>
      </c>
      <c r="U4" s="8">
        <v>46156</v>
      </c>
      <c r="V4" s="8">
        <v>46157</v>
      </c>
      <c r="W4" s="8">
        <v>46158</v>
      </c>
      <c r="X4" s="8">
        <v>46159</v>
      </c>
      <c r="Y4" s="8">
        <v>46160</v>
      </c>
      <c r="Z4" s="8">
        <v>46161</v>
      </c>
      <c r="AA4" s="8">
        <v>46162</v>
      </c>
      <c r="AB4" s="8">
        <v>46163</v>
      </c>
      <c r="AC4" s="8">
        <v>46164</v>
      </c>
      <c r="AD4" s="8">
        <v>46165</v>
      </c>
      <c r="AE4" s="8">
        <v>46166</v>
      </c>
      <c r="AF4" s="8">
        <v>46167</v>
      </c>
      <c r="AG4" s="8">
        <v>46168</v>
      </c>
      <c r="AH4" s="8">
        <v>46169</v>
      </c>
      <c r="AI4" s="8">
        <v>46170</v>
      </c>
      <c r="AJ4" s="8">
        <v>46171</v>
      </c>
      <c r="AK4" s="8">
        <v>46172</v>
      </c>
      <c r="AL4" s="8">
        <v>46173</v>
      </c>
      <c r="AM4" s="8">
        <v>46174</v>
      </c>
      <c r="AN4" s="8">
        <v>46175</v>
      </c>
      <c r="AO4" s="8">
        <v>46176</v>
      </c>
      <c r="AP4" s="8">
        <v>46177</v>
      </c>
      <c r="AQ4" s="8">
        <v>46178</v>
      </c>
      <c r="AR4" s="8">
        <v>46179</v>
      </c>
      <c r="AS4" s="8">
        <v>46180</v>
      </c>
      <c r="AT4" s="8">
        <v>46181</v>
      </c>
      <c r="AU4" s="8">
        <v>46182</v>
      </c>
      <c r="AV4" s="8">
        <v>46183</v>
      </c>
      <c r="AW4" s="8">
        <v>46184</v>
      </c>
      <c r="AX4" s="8">
        <v>46185</v>
      </c>
      <c r="AY4" s="8">
        <v>46186</v>
      </c>
      <c r="AZ4" s="8">
        <v>46187</v>
      </c>
      <c r="BA4" s="8">
        <v>46188</v>
      </c>
      <c r="BB4" s="8">
        <v>46189</v>
      </c>
      <c r="BC4" s="8">
        <v>46190</v>
      </c>
      <c r="BD4" s="8">
        <v>46191</v>
      </c>
      <c r="BE4" s="8">
        <v>46192</v>
      </c>
      <c r="BF4" s="8">
        <v>46193</v>
      </c>
      <c r="BG4" s="8">
        <v>46194</v>
      </c>
      <c r="BH4" s="8">
        <v>46195</v>
      </c>
      <c r="BI4" s="8">
        <v>46196</v>
      </c>
      <c r="BJ4" s="8">
        <v>46197</v>
      </c>
      <c r="BK4" s="8">
        <v>46198</v>
      </c>
      <c r="BL4" s="8">
        <v>46199</v>
      </c>
      <c r="BM4" s="8">
        <v>46200</v>
      </c>
      <c r="BN4" s="8">
        <v>46201</v>
      </c>
      <c r="BO4" s="8">
        <v>46202</v>
      </c>
      <c r="BP4" s="8">
        <v>46203</v>
      </c>
    </row>
    <row r="5" spans="1:68" s="1" customFormat="1" ht="15.5" customHeight="1">
      <c r="F5" s="100"/>
      <c r="G5" s="100"/>
      <c r="I5" s="95"/>
      <c r="J5" s="96"/>
      <c r="K5" s="5" t="s">
        <v>7</v>
      </c>
      <c r="L5" s="9" t="e">
        <f>SUM(L1:L3)</f>
        <v>#REF!</v>
      </c>
      <c r="M5" s="10" t="e">
        <f t="shared" ref="M5:AR5" si="0">IF(M2="单",$J$1,IF(M2="双",$J$2,0))-M3-M6</f>
        <v>#VALUE!</v>
      </c>
      <c r="N5" s="10" t="e">
        <f t="shared" si="0"/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ref="AS5:BP5" si="1">IF(AS2="单",$J$1,IF(AS2="双",$J$2,0))-AS3-AS6</f>
        <v>#VALUE!</v>
      </c>
      <c r="AT5" s="10" t="e">
        <f t="shared" si="1"/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</row>
    <row r="6" spans="1:68" s="2" customFormat="1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s="97" t="s">
        <v>12</v>
      </c>
      <c r="G6" s="98"/>
      <c r="H6" s="13" t="s">
        <v>13</v>
      </c>
      <c r="I6" s="14" t="s">
        <v>14</v>
      </c>
      <c r="J6" s="15" t="s">
        <v>15</v>
      </c>
      <c r="K6" s="16" t="s">
        <v>16</v>
      </c>
      <c r="L6" s="17" t="s">
        <v>17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</row>
    <row r="7" spans="1:68" s="2" customFormat="1" ht="15.5" customHeight="1">
      <c r="A7" s="18" t="s">
        <v>480</v>
      </c>
      <c r="B7" s="19"/>
      <c r="C7" s="20"/>
      <c r="D7" s="19" t="s">
        <v>494</v>
      </c>
      <c r="E7" s="21" t="s">
        <v>482</v>
      </c>
      <c r="F7" s="19">
        <v>46</v>
      </c>
      <c r="G7" s="19">
        <v>6</v>
      </c>
      <c r="H7" s="22"/>
      <c r="I7" s="23"/>
      <c r="J7" s="19">
        <v>2530</v>
      </c>
      <c r="K7" s="19" t="e">
        <f t="shared" ref="K7:K12" si="2">F6*G6*J6</f>
        <v>#VALUE!</v>
      </c>
      <c r="L7" s="19">
        <v>0</v>
      </c>
      <c r="M7" s="24">
        <v>2033</v>
      </c>
      <c r="N7" s="24">
        <v>497</v>
      </c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</row>
    <row r="8" spans="1:68" s="2" customFormat="1" ht="14" customHeight="1">
      <c r="A8" s="18" t="s">
        <v>495</v>
      </c>
      <c r="B8" s="19"/>
      <c r="C8" s="20"/>
      <c r="D8" s="19" t="s">
        <v>496</v>
      </c>
      <c r="E8" s="21" t="s">
        <v>497</v>
      </c>
      <c r="F8" s="19">
        <v>26</v>
      </c>
      <c r="G8" s="19">
        <v>8</v>
      </c>
      <c r="H8" s="22"/>
      <c r="I8" s="23"/>
      <c r="J8" s="19">
        <v>4000</v>
      </c>
      <c r="K8" s="19">
        <f t="shared" si="2"/>
        <v>698280</v>
      </c>
      <c r="L8" s="19">
        <v>0</v>
      </c>
      <c r="M8" s="24"/>
      <c r="N8" s="24">
        <v>2038</v>
      </c>
      <c r="O8" s="24">
        <v>1962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</row>
    <row r="9" spans="1:68" s="2" customFormat="1" ht="15.5" customHeight="1">
      <c r="A9" s="18" t="s">
        <v>480</v>
      </c>
      <c r="B9" s="19"/>
      <c r="C9" s="20"/>
      <c r="D9" s="19" t="s">
        <v>498</v>
      </c>
      <c r="E9" s="21" t="s">
        <v>482</v>
      </c>
      <c r="F9" s="19">
        <v>46</v>
      </c>
      <c r="G9" s="19">
        <v>6</v>
      </c>
      <c r="H9" s="22"/>
      <c r="I9" s="23"/>
      <c r="J9" s="19">
        <v>3000</v>
      </c>
      <c r="K9" s="19">
        <f t="shared" si="2"/>
        <v>832000</v>
      </c>
      <c r="L9" s="19">
        <v>0</v>
      </c>
      <c r="M9" s="24"/>
      <c r="N9" s="24"/>
      <c r="O9" s="24">
        <v>554</v>
      </c>
      <c r="P9" s="24">
        <v>2033</v>
      </c>
      <c r="Q9" s="24"/>
      <c r="R9" s="24">
        <v>413</v>
      </c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</row>
    <row r="10" spans="1:68" s="2" customFormat="1" ht="17" customHeight="1">
      <c r="A10" s="18" t="s">
        <v>495</v>
      </c>
      <c r="B10" s="19"/>
      <c r="C10" s="20"/>
      <c r="D10" s="19"/>
      <c r="E10" s="21" t="s">
        <v>497</v>
      </c>
      <c r="F10" s="19">
        <v>26</v>
      </c>
      <c r="G10" s="19">
        <v>8</v>
      </c>
      <c r="H10" s="22"/>
      <c r="I10" s="23"/>
      <c r="J10" s="19">
        <v>4000</v>
      </c>
      <c r="K10" s="19">
        <f t="shared" si="2"/>
        <v>828000</v>
      </c>
      <c r="L10" s="19">
        <v>0</v>
      </c>
      <c r="M10" s="24"/>
      <c r="N10" s="24"/>
      <c r="O10" s="24"/>
      <c r="P10" s="24"/>
      <c r="Q10" s="24"/>
      <c r="R10" s="24">
        <v>2149</v>
      </c>
      <c r="S10" s="24">
        <v>1851</v>
      </c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</row>
    <row r="11" spans="1:68" s="2" customFormat="1" ht="15.5" customHeight="1">
      <c r="A11" s="18" t="s">
        <v>480</v>
      </c>
      <c r="B11" s="19"/>
      <c r="C11" s="20"/>
      <c r="D11" s="25" t="s">
        <v>499</v>
      </c>
      <c r="E11" s="21" t="s">
        <v>482</v>
      </c>
      <c r="F11" s="19">
        <v>46</v>
      </c>
      <c r="G11" s="19">
        <v>6</v>
      </c>
      <c r="H11" s="22"/>
      <c r="I11" s="23"/>
      <c r="J11" s="19">
        <v>9000</v>
      </c>
      <c r="K11" s="19">
        <f t="shared" si="2"/>
        <v>832000</v>
      </c>
      <c r="L11" s="19">
        <v>0</v>
      </c>
      <c r="M11" s="24"/>
      <c r="N11" s="24"/>
      <c r="O11" s="24"/>
      <c r="P11" s="24"/>
      <c r="Q11" s="24"/>
      <c r="R11" s="24"/>
      <c r="S11" s="24">
        <v>638</v>
      </c>
      <c r="T11" s="24">
        <v>2033</v>
      </c>
      <c r="U11" s="24">
        <v>2033</v>
      </c>
      <c r="V11" s="24">
        <v>2033</v>
      </c>
      <c r="W11" s="24">
        <v>2033</v>
      </c>
      <c r="X11" s="24"/>
      <c r="Y11" s="24">
        <v>230</v>
      </c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</row>
    <row r="12" spans="1:68" ht="15.5" customHeight="1">
      <c r="A12" s="18" t="s">
        <v>480</v>
      </c>
      <c r="B12" s="19"/>
      <c r="C12" s="20"/>
      <c r="D12" s="19" t="s">
        <v>500</v>
      </c>
      <c r="E12" s="21" t="s">
        <v>482</v>
      </c>
      <c r="F12" s="19">
        <v>46</v>
      </c>
      <c r="G12" s="19">
        <v>6</v>
      </c>
      <c r="H12" s="22"/>
      <c r="I12" s="23"/>
      <c r="J12" s="19">
        <v>10000</v>
      </c>
      <c r="K12" s="19">
        <f t="shared" si="2"/>
        <v>2484000</v>
      </c>
      <c r="L12" s="19">
        <v>0</v>
      </c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>
        <v>1803</v>
      </c>
      <c r="Z12" s="24">
        <v>2033</v>
      </c>
      <c r="AA12" s="24">
        <v>2033</v>
      </c>
      <c r="AB12" s="24">
        <v>2033</v>
      </c>
      <c r="AC12" s="24">
        <v>2033</v>
      </c>
      <c r="AD12" s="24">
        <v>65</v>
      </c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</row>
    <row r="13" spans="1:68" s="2" customFormat="1" ht="15.5" customHeight="1">
      <c r="A13" s="26" t="s">
        <v>501</v>
      </c>
      <c r="B13" s="26"/>
      <c r="C13" s="26"/>
      <c r="D13" s="19" t="s">
        <v>502</v>
      </c>
      <c r="E13" s="27" t="s">
        <v>503</v>
      </c>
      <c r="F13" s="26">
        <v>46</v>
      </c>
      <c r="G13" s="26">
        <v>6</v>
      </c>
      <c r="H13" s="23"/>
      <c r="I13" s="23"/>
      <c r="J13" s="19">
        <v>4000</v>
      </c>
      <c r="K13" s="19">
        <f>J12*F12*G12</f>
        <v>2760000</v>
      </c>
      <c r="L13" s="19">
        <v>0</v>
      </c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>
        <v>1968</v>
      </c>
      <c r="AE13" s="24"/>
      <c r="AF13" s="24">
        <v>2032</v>
      </c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</row>
    <row r="14" spans="1:68" s="2" customFormat="1" ht="15.5" customHeight="1">
      <c r="A14" s="18" t="s">
        <v>495</v>
      </c>
      <c r="B14" s="19"/>
      <c r="C14" s="20"/>
      <c r="D14" s="19" t="s">
        <v>504</v>
      </c>
      <c r="E14" s="21" t="s">
        <v>497</v>
      </c>
      <c r="F14" s="19">
        <v>26</v>
      </c>
      <c r="G14" s="19">
        <v>8</v>
      </c>
      <c r="H14" s="22"/>
      <c r="I14" s="23"/>
      <c r="J14" s="19">
        <v>7000</v>
      </c>
      <c r="K14" s="19">
        <f>F13*G13*J13</f>
        <v>1104000</v>
      </c>
      <c r="L14" s="19">
        <v>0</v>
      </c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>
        <v>2697</v>
      </c>
      <c r="AH14" s="24">
        <v>2697</v>
      </c>
      <c r="AI14" s="24">
        <v>1606</v>
      </c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</row>
    <row r="15" spans="1:68" s="2" customFormat="1" ht="15.5" customHeight="1">
      <c r="A15" s="18" t="s">
        <v>505</v>
      </c>
      <c r="B15" s="19"/>
      <c r="C15" s="20"/>
      <c r="D15" s="19"/>
      <c r="E15" s="21" t="s">
        <v>506</v>
      </c>
      <c r="F15" s="19">
        <v>40</v>
      </c>
      <c r="G15" s="19">
        <v>4</v>
      </c>
      <c r="H15" s="22"/>
      <c r="I15" s="23"/>
      <c r="J15" s="19">
        <v>2000</v>
      </c>
      <c r="K15" s="19">
        <f>F14*G14*J14</f>
        <v>1456000</v>
      </c>
      <c r="L15" s="19">
        <v>0</v>
      </c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>
        <v>1418</v>
      </c>
      <c r="AJ15" s="24">
        <v>582</v>
      </c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</row>
    <row r="16" spans="1:68" s="2" customFormat="1" ht="15.5" customHeight="1">
      <c r="A16" s="18" t="s">
        <v>480</v>
      </c>
      <c r="B16" s="19"/>
      <c r="C16" s="20"/>
      <c r="D16" s="19"/>
      <c r="E16" s="21" t="s">
        <v>482</v>
      </c>
      <c r="F16" s="19">
        <v>46</v>
      </c>
      <c r="G16" s="19">
        <v>6</v>
      </c>
      <c r="H16" s="22"/>
      <c r="I16" s="23"/>
      <c r="J16" s="19">
        <v>10000</v>
      </c>
      <c r="K16" s="19">
        <f>F15*G15*J15</f>
        <v>320000</v>
      </c>
      <c r="L16" s="19">
        <v>0</v>
      </c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>
        <v>1695</v>
      </c>
      <c r="AK16" s="24">
        <v>2033</v>
      </c>
      <c r="AL16" s="24"/>
      <c r="AM16" s="24">
        <v>2033</v>
      </c>
      <c r="AN16" s="24">
        <v>2033</v>
      </c>
      <c r="AO16" s="24">
        <v>2033</v>
      </c>
      <c r="AP16" s="24">
        <v>173</v>
      </c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</row>
    <row r="17" spans="1:68" ht="17" customHeight="1">
      <c r="A17" s="18" t="s">
        <v>480</v>
      </c>
      <c r="B17" s="19"/>
      <c r="C17" s="20"/>
      <c r="D17" s="19"/>
      <c r="E17" s="21" t="s">
        <v>482</v>
      </c>
      <c r="F17" s="19">
        <v>46</v>
      </c>
      <c r="G17" s="19">
        <v>6</v>
      </c>
      <c r="H17" s="22"/>
      <c r="I17" s="23"/>
      <c r="J17" s="19">
        <v>10000</v>
      </c>
      <c r="K17" s="19">
        <f>F16*G16*J16</f>
        <v>2760000</v>
      </c>
      <c r="L17" s="19">
        <v>0</v>
      </c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>
        <v>1860</v>
      </c>
      <c r="AQ17" s="24">
        <v>2033</v>
      </c>
      <c r="AR17" s="24">
        <v>2033</v>
      </c>
      <c r="AS17" s="24"/>
      <c r="AT17" s="24">
        <v>2033</v>
      </c>
      <c r="AU17" s="24">
        <v>2033</v>
      </c>
      <c r="AV17" s="24">
        <v>8</v>
      </c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</row>
  </sheetData>
  <mergeCells count="3">
    <mergeCell ref="A1:H4"/>
    <mergeCell ref="I3:J4"/>
    <mergeCell ref="F5:G5"/>
  </mergeCells>
  <phoneticPr fontId="19" type="noConversion"/>
  <conditionalFormatting sqref="D6">
    <cfRule type="cellIs" dxfId="19" priority="13" stopIfTrue="1" operator="equal">
      <formula>"C-B&gt;10"</formula>
    </cfRule>
    <cfRule type="cellIs" dxfId="18" priority="14" stopIfTrue="1" operator="equal">
      <formula>"C-B&gt;30"</formula>
    </cfRule>
  </conditionalFormatting>
  <conditionalFormatting sqref="D7">
    <cfRule type="cellIs" dxfId="17" priority="7" stopIfTrue="1" operator="equal">
      <formula>"C-B&gt;10"</formula>
    </cfRule>
    <cfRule type="cellIs" dxfId="16" priority="8" stopIfTrue="1" operator="equal">
      <formula>"C-B&gt;30"</formula>
    </cfRule>
  </conditionalFormatting>
  <conditionalFormatting sqref="D10">
    <cfRule type="cellIs" dxfId="15" priority="23" stopIfTrue="1" operator="equal">
      <formula>"C-B&gt;10"</formula>
    </cfRule>
    <cfRule type="cellIs" dxfId="14" priority="24" stopIfTrue="1" operator="equal">
      <formula>"C-B&gt;30"</formula>
    </cfRule>
  </conditionalFormatting>
  <conditionalFormatting sqref="D11">
    <cfRule type="cellIs" dxfId="13" priority="9" stopIfTrue="1" operator="equal">
      <formula>"C-B&gt;10"</formula>
    </cfRule>
    <cfRule type="cellIs" dxfId="12" priority="10" stopIfTrue="1" operator="equal">
      <formula>"C-B&gt;30"</formula>
    </cfRule>
  </conditionalFormatting>
  <conditionalFormatting sqref="D12">
    <cfRule type="cellIs" dxfId="11" priority="27" stopIfTrue="1" operator="equal">
      <formula>"C-B&gt;10"</formula>
    </cfRule>
    <cfRule type="cellIs" dxfId="10" priority="28" stopIfTrue="1" operator="equal">
      <formula>"C-B&gt;30"</formula>
    </cfRule>
  </conditionalFormatting>
  <conditionalFormatting sqref="D13">
    <cfRule type="cellIs" dxfId="9" priority="17" stopIfTrue="1" operator="equal">
      <formula>"C-B&gt;10"</formula>
    </cfRule>
    <cfRule type="cellIs" dxfId="8" priority="18" stopIfTrue="1" operator="equal">
      <formula>"C-B&gt;30"</formula>
    </cfRule>
  </conditionalFormatting>
  <conditionalFormatting sqref="D14">
    <cfRule type="cellIs" dxfId="7" priority="6" stopIfTrue="1" operator="equal">
      <formula>"C-B&gt;30"</formula>
    </cfRule>
    <cfRule type="cellIs" dxfId="6" priority="5" stopIfTrue="1" operator="equal">
      <formula>"C-B&gt;10"</formula>
    </cfRule>
  </conditionalFormatting>
  <conditionalFormatting sqref="D15">
    <cfRule type="cellIs" dxfId="5" priority="4" stopIfTrue="1" operator="equal">
      <formula>"C-B&gt;30"</formula>
    </cfRule>
    <cfRule type="cellIs" dxfId="4" priority="3" stopIfTrue="1" operator="equal">
      <formula>"C-B&gt;10"</formula>
    </cfRule>
  </conditionalFormatting>
  <conditionalFormatting sqref="D16">
    <cfRule type="cellIs" dxfId="3" priority="2" stopIfTrue="1" operator="equal">
      <formula>"C-B&gt;30"</formula>
    </cfRule>
    <cfRule type="cellIs" dxfId="2" priority="1" stopIfTrue="1" operator="equal">
      <formula>"C-B&gt;10"</formula>
    </cfRule>
  </conditionalFormatting>
  <conditionalFormatting sqref="D8:D9">
    <cfRule type="cellIs" dxfId="1" priority="11" stopIfTrue="1" operator="equal">
      <formula>"C-B&gt;10"</formula>
    </cfRule>
    <cfRule type="cellIs" dxfId="0" priority="12" stopIfTrue="1" operator="equal">
      <formula>"C-B&gt;30"</formula>
    </cfRule>
  </conditionalFormatting>
  <dataValidations count="1">
    <dataValidation type="list" allowBlank="1" showInputMessage="1" showErrorMessage="1" sqref="M2:BP2" xr:uid="{00000000-0002-0000-0F00-000000000000}">
      <formula1>"单,双"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"/>
  <sheetViews>
    <sheetView workbookViewId="0">
      <selection activeCell="R13" sqref="R13"/>
    </sheetView>
  </sheetViews>
  <sheetFormatPr baseColWidth="10" defaultColWidth="9" defaultRowHeight="15"/>
  <sheetData/>
  <phoneticPr fontId="19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"/>
  <sheetViews>
    <sheetView workbookViewId="0">
      <selection activeCell="R13" sqref="R13"/>
    </sheetView>
  </sheetViews>
  <sheetFormatPr baseColWidth="10" defaultColWidth="8.83203125" defaultRowHeight="15"/>
  <sheetData/>
  <phoneticPr fontId="19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"/>
  <sheetViews>
    <sheetView workbookViewId="0">
      <selection activeCell="R13" sqref="R13"/>
    </sheetView>
  </sheetViews>
  <sheetFormatPr baseColWidth="10" defaultColWidth="8.83203125" defaultRowHeight="15"/>
  <sheetData/>
  <phoneticPr fontId="19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设置排产</vt:lpstr>
      <vt:lpstr>换码设置</vt:lpstr>
      <vt:lpstr>AD-5#尿裤</vt:lpstr>
      <vt:lpstr>AD-8#尿裤</vt:lpstr>
      <vt:lpstr>AD-7#拉拉裤</vt:lpstr>
      <vt:lpstr>AD-10#拉拉裤</vt:lpstr>
      <vt:lpstr>AD-3#尿片</vt:lpstr>
      <vt:lpstr>UP-1#床垫</vt:lpstr>
      <vt:lpstr>UP-3#床垫</vt:lpstr>
      <vt:lpstr>SN-1</vt:lpstr>
      <vt:lpstr>SN-2</vt:lpstr>
      <vt:lpstr>BD-2#婴裤</vt:lpstr>
      <vt:lpstr>BD-3#拉拉裤</vt:lpstr>
      <vt:lpstr>BD-5#拉拉裤</vt:lpstr>
      <vt:lpstr>BD-6#拉拉裤 </vt:lpstr>
      <vt:lpstr>BD-7#拉拉裤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e60036</cp:lastModifiedBy>
  <dcterms:created xsi:type="dcterms:W3CDTF">2026-03-01T01:19:00Z</dcterms:created>
  <dcterms:modified xsi:type="dcterms:W3CDTF">2026-05-15T06:37:04Z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62A78E8019A74ADB856C7FF0F214AFD2_13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1</vt:i4>
  </property>
  <property fmtid="{D5CDD505-2E9C-101B-9397-08002B2CF9AE}" pid="5" name="KSOReadingLayout">
    <vt:bool>false</vt:bool>
  </property>
</Properties>
</file>